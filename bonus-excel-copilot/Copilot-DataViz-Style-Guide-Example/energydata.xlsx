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copilot-demo-files/copilot-dataviz-style-guide/"/>
    </mc:Choice>
  </mc:AlternateContent>
  <xr:revisionPtr revIDLastSave="120" documentId="13_ncr:1_{A4B64260-544C-444D-8C4A-B7648BAEF4C0}" xr6:coauthVersionLast="47" xr6:coauthVersionMax="47" xr10:uidLastSave="{F49CBB41-FB23-4616-82B1-319812E974B0}"/>
  <bookViews>
    <workbookView xWindow="-23136" yWindow="-96" windowWidth="23232" windowHeight="13152" activeTab="2" xr2:uid="{0E6B3965-6A60-4E19-A7CA-E8FCFD780A38}"/>
  </bookViews>
  <sheets>
    <sheet name="data" sheetId="1" r:id="rId1"/>
    <sheet name="instructions" sheetId="2" r:id="rId2"/>
    <sheet name="Visual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" i="4" l="1"/>
  <c r="B31" i="4"/>
  <c r="B30" i="4"/>
  <c r="C24" i="4"/>
  <c r="B24" i="4"/>
  <c r="C23" i="4"/>
  <c r="B23" i="4"/>
  <c r="C22" i="4"/>
  <c r="B22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</calcChain>
</file>

<file path=xl/sharedStrings.xml><?xml version="1.0" encoding="utf-8"?>
<sst xmlns="http://schemas.openxmlformats.org/spreadsheetml/2006/main" count="201" uniqueCount="35">
  <si>
    <t>Country</t>
  </si>
  <si>
    <t>Year</t>
  </si>
  <si>
    <t>Energy Source</t>
  </si>
  <si>
    <t>Production (GWh)</t>
  </si>
  <si>
    <t>Revenue ($M)</t>
  </si>
  <si>
    <t>CO2 Emissions (tons)</t>
  </si>
  <si>
    <t>Budget Revenue ($M)</t>
  </si>
  <si>
    <t>ESG Score</t>
  </si>
  <si>
    <t>USA</t>
  </si>
  <si>
    <t>Oil</t>
  </si>
  <si>
    <t>Gas</t>
  </si>
  <si>
    <t>Coal</t>
  </si>
  <si>
    <t>Solar</t>
  </si>
  <si>
    <t>Wind</t>
  </si>
  <si>
    <t>Norway</t>
  </si>
  <si>
    <t>Nigeria</t>
  </si>
  <si>
    <t>For each question below:</t>
  </si>
  <si>
    <t>- Identify whether the goal is comparison, composition, correlation, or distribution</t>
  </si>
  <si>
    <t>- Select the appropriate chart type based on the guide</t>
  </si>
  <si>
    <t>- Briefly explain why that chart is correct according to the guide</t>
  </si>
  <si>
    <t>Questions:</t>
  </si>
  <si>
    <t>1. How has energy production changed over time by source?</t>
  </si>
  <si>
    <t>2. What is the energy mix by country in 2023?</t>
  </si>
  <si>
    <t>3. Which countries generate high revenue but also high emissions?</t>
  </si>
  <si>
    <t>4. How do ESG scores vary across countries?</t>
  </si>
  <si>
    <t>Be concise and practical.</t>
  </si>
  <si>
    <t>You are analyzing this dataset in Excel for a public-facing energy report.</t>
  </si>
  <si>
    <t>Use the EITI data visualization style guide as a reference.</t>
  </si>
  <si>
    <t>- Create the chart and add it to the workbook on a new sheet called "Visuals"</t>
  </si>
  <si>
    <t>Chart 1: Energy Production Over Time by Source</t>
  </si>
  <si>
    <t>Chart 2: Energy Mix by Country in 2023</t>
  </si>
  <si>
    <t>Chart 3: Revenue vs CO2 Emissions by Country (2023)</t>
  </si>
  <si>
    <t>Total Revenue ($M)</t>
  </si>
  <si>
    <t>Total CO2 Emissions (tons)</t>
  </si>
  <si>
    <t>Chart 4: ESG Scores by Country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</si>
</sst>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Production Over Time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Visuals!$A$3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Visuals!$A$4:$A$8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7-4361-9A01-986FE1B82CCF}"/>
            </c:ext>
          </c:extLst>
        </c:ser>
        <c:ser>
          <c:idx val="1"/>
          <c:order val="1"/>
          <c:tx>
            <c:strRef>
              <c:f>Visuals!$B$3</c:f>
              <c:strCache>
                <c:ptCount val="1"/>
                <c:pt idx="0">
                  <c:v>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Visuals!$B$4:$B$8</c:f>
              <c:numCache>
                <c:formatCode>General</c:formatCode>
                <c:ptCount val="5"/>
                <c:pt idx="0">
                  <c:v>9500</c:v>
                </c:pt>
                <c:pt idx="1">
                  <c:v>9100</c:v>
                </c:pt>
                <c:pt idx="2">
                  <c:v>9600</c:v>
                </c:pt>
                <c:pt idx="3">
                  <c:v>10000</c:v>
                </c:pt>
                <c:pt idx="4">
                  <c:v>10300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7-4361-9A01-986FE1B82CCF}"/>
            </c:ext>
          </c:extLst>
        </c:ser>
        <c:ser>
          <c:idx val="2"/>
          <c:order val="2"/>
          <c:tx>
            <c:strRef>
              <c:f>Visuals!$C$3</c:f>
              <c:strCache>
                <c:ptCount val="1"/>
                <c:pt idx="0">
                  <c:v>Gas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Visuals!$C$4:$C$8</c:f>
              <c:numCache>
                <c:formatCode>General</c:formatCode>
                <c:ptCount val="5"/>
                <c:pt idx="0">
                  <c:v>7700</c:v>
                </c:pt>
                <c:pt idx="1">
                  <c:v>8000</c:v>
                </c:pt>
                <c:pt idx="2">
                  <c:v>8300</c:v>
                </c:pt>
                <c:pt idx="3">
                  <c:v>8600</c:v>
                </c:pt>
                <c:pt idx="4">
                  <c:v>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7-4361-9A01-986FE1B82CCF}"/>
            </c:ext>
          </c:extLst>
        </c:ser>
        <c:ser>
          <c:idx val="3"/>
          <c:order val="3"/>
          <c:tx>
            <c:strRef>
              <c:f>Visuals!$D$3</c:f>
              <c:strCache>
                <c:ptCount val="1"/>
                <c:pt idx="0">
                  <c:v>Coal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Visuals!$D$4:$D$8</c:f>
              <c:numCache>
                <c:formatCode>General</c:formatCode>
                <c:ptCount val="5"/>
                <c:pt idx="0">
                  <c:v>3700</c:v>
                </c:pt>
                <c:pt idx="1">
                  <c:v>3400</c:v>
                </c:pt>
                <c:pt idx="2">
                  <c:v>3100</c:v>
                </c:pt>
                <c:pt idx="3">
                  <c:v>2830</c:v>
                </c:pt>
                <c:pt idx="4">
                  <c:v>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97-4361-9A01-986FE1B82CCF}"/>
            </c:ext>
          </c:extLst>
        </c:ser>
        <c:ser>
          <c:idx val="4"/>
          <c:order val="4"/>
          <c:tx>
            <c:strRef>
              <c:f>Visuals!$E$3</c:f>
              <c:strCache>
                <c:ptCount val="1"/>
                <c:pt idx="0">
                  <c:v>Solar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Visuals!$E$4:$E$8</c:f>
              <c:numCache>
                <c:formatCode>General</c:formatCode>
                <c:ptCount val="5"/>
                <c:pt idx="0">
                  <c:v>1300</c:v>
                </c:pt>
                <c:pt idx="1">
                  <c:v>1500</c:v>
                </c:pt>
                <c:pt idx="2">
                  <c:v>1800</c:v>
                </c:pt>
                <c:pt idx="3">
                  <c:v>2100</c:v>
                </c:pt>
                <c:pt idx="4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97-4361-9A01-986FE1B82CCF}"/>
            </c:ext>
          </c:extLst>
        </c:ser>
        <c:ser>
          <c:idx val="5"/>
          <c:order val="5"/>
          <c:tx>
            <c:strRef>
              <c:f>Visuals!$F$3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Visuals!$F$4:$F$8</c:f>
              <c:numCache>
                <c:formatCode>General</c:formatCode>
                <c:ptCount val="5"/>
                <c:pt idx="0">
                  <c:v>1700</c:v>
                </c:pt>
                <c:pt idx="1">
                  <c:v>1920</c:v>
                </c:pt>
                <c:pt idx="2">
                  <c:v>2250</c:v>
                </c:pt>
                <c:pt idx="3">
                  <c:v>2580</c:v>
                </c:pt>
                <c:pt idx="4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97-4361-9A01-986FE1B8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992640"/>
        <c:axId val="1485986400"/>
      </c:lineChart>
      <c:catAx>
        <c:axId val="14859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86400"/>
        <c:crosses val="autoZero"/>
        <c:auto val="1"/>
        <c:lblAlgn val="ctr"/>
        <c:lblOffset val="100"/>
        <c:noMultiLvlLbl val="0"/>
      </c:catAx>
      <c:valAx>
        <c:axId val="14859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9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Mix by Country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Visuals!$B$13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Visuals!$A$14:$A$16</c:f>
              <c:strCache>
                <c:ptCount val="3"/>
                <c:pt idx="0">
                  <c:v>USA</c:v>
                </c:pt>
                <c:pt idx="1">
                  <c:v>Norway</c:v>
                </c:pt>
                <c:pt idx="2">
                  <c:v>Nigeria</c:v>
                </c:pt>
              </c:strCache>
            </c:strRef>
          </c:cat>
          <c:val>
            <c:numRef>
              <c:f>Visuals!$B$14:$B$16</c:f>
              <c:numCache>
                <c:formatCode>General</c:formatCode>
                <c:ptCount val="3"/>
                <c:pt idx="0">
                  <c:v>4200</c:v>
                </c:pt>
                <c:pt idx="1">
                  <c:v>2800</c:v>
                </c:pt>
                <c:pt idx="2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883-85BB-1826C12C4996}"/>
            </c:ext>
          </c:extLst>
        </c:ser>
        <c:ser>
          <c:idx val="1"/>
          <c:order val="1"/>
          <c:tx>
            <c:strRef>
              <c:f>Visuals!$C$13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Visuals!$A$14:$A$16</c:f>
              <c:strCache>
                <c:ptCount val="3"/>
                <c:pt idx="0">
                  <c:v>USA</c:v>
                </c:pt>
                <c:pt idx="1">
                  <c:v>Norway</c:v>
                </c:pt>
                <c:pt idx="2">
                  <c:v>Nigeria</c:v>
                </c:pt>
              </c:strCache>
            </c:strRef>
          </c:cat>
          <c:val>
            <c:numRef>
              <c:f>Visuals!$C$14:$C$16</c:f>
              <c:numCache>
                <c:formatCode>General</c:formatCode>
                <c:ptCount val="3"/>
                <c:pt idx="0">
                  <c:v>3900</c:v>
                </c:pt>
                <c:pt idx="1">
                  <c:v>2600</c:v>
                </c:pt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A-4883-85BB-1826C12C4996}"/>
            </c:ext>
          </c:extLst>
        </c:ser>
        <c:ser>
          <c:idx val="2"/>
          <c:order val="2"/>
          <c:tx>
            <c:strRef>
              <c:f>Visuals!$D$13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Visuals!$A$14:$A$16</c:f>
              <c:strCache>
                <c:ptCount val="3"/>
                <c:pt idx="0">
                  <c:v>USA</c:v>
                </c:pt>
                <c:pt idx="1">
                  <c:v>Norway</c:v>
                </c:pt>
                <c:pt idx="2">
                  <c:v>Nigeria</c:v>
                </c:pt>
              </c:strCache>
            </c:strRef>
          </c:cat>
          <c:val>
            <c:numRef>
              <c:f>Visuals!$D$14:$D$16</c:f>
              <c:numCache>
                <c:formatCode>General</c:formatCode>
                <c:ptCount val="3"/>
                <c:pt idx="0">
                  <c:v>2200</c:v>
                </c:pt>
                <c:pt idx="1">
                  <c:v>50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A-4883-85BB-1826C12C4996}"/>
            </c:ext>
          </c:extLst>
        </c:ser>
        <c:ser>
          <c:idx val="3"/>
          <c:order val="3"/>
          <c:tx>
            <c:strRef>
              <c:f>Visuals!$E$13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Visuals!$A$14:$A$16</c:f>
              <c:strCache>
                <c:ptCount val="3"/>
                <c:pt idx="0">
                  <c:v>USA</c:v>
                </c:pt>
                <c:pt idx="1">
                  <c:v>Norway</c:v>
                </c:pt>
                <c:pt idx="2">
                  <c:v>Nigeria</c:v>
                </c:pt>
              </c:strCache>
            </c:strRef>
          </c:cat>
          <c:val>
            <c:numRef>
              <c:f>Visuals!$E$14:$E$16</c:f>
              <c:numCache>
                <c:formatCode>General</c:formatCode>
                <c:ptCount val="3"/>
                <c:pt idx="0">
                  <c:v>1500</c:v>
                </c:pt>
                <c:pt idx="1">
                  <c:v>500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A-4883-85BB-1826C12C4996}"/>
            </c:ext>
          </c:extLst>
        </c:ser>
        <c:ser>
          <c:idx val="4"/>
          <c:order val="4"/>
          <c:tx>
            <c:strRef>
              <c:f>Visuals!$F$13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Visuals!$A$14:$A$16</c:f>
              <c:strCache>
                <c:ptCount val="3"/>
                <c:pt idx="0">
                  <c:v>USA</c:v>
                </c:pt>
                <c:pt idx="1">
                  <c:v>Norway</c:v>
                </c:pt>
                <c:pt idx="2">
                  <c:v>Nigeria</c:v>
                </c:pt>
              </c:strCache>
            </c:strRef>
          </c:cat>
          <c:val>
            <c:numRef>
              <c:f>Visuals!$F$14:$F$16</c:f>
              <c:numCache>
                <c:formatCode>General</c:formatCode>
                <c:ptCount val="3"/>
                <c:pt idx="0">
                  <c:v>1600</c:v>
                </c:pt>
                <c:pt idx="1">
                  <c:v>1100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A-4883-85BB-1826C12C4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9968320"/>
        <c:axId val="1659966400"/>
      </c:barChart>
      <c:catAx>
        <c:axId val="165996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66400"/>
        <c:crosses val="autoZero"/>
        <c:auto val="1"/>
        <c:lblAlgn val="ctr"/>
        <c:lblOffset val="100"/>
        <c:noMultiLvlLbl val="0"/>
      </c:catAx>
      <c:valAx>
        <c:axId val="16599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CO2 Emissions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Visuals!$C$21</c:f>
              <c:strCache>
                <c:ptCount val="1"/>
                <c:pt idx="0">
                  <c:v>Total CO2 Emissions (tons)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Visuals!$B$22:$B$24</c:f>
              <c:numCache>
                <c:formatCode>General</c:formatCode>
                <c:ptCount val="3"/>
                <c:pt idx="0">
                  <c:v>1200</c:v>
                </c:pt>
                <c:pt idx="1">
                  <c:v>910</c:v>
                </c:pt>
                <c:pt idx="2">
                  <c:v>580</c:v>
                </c:pt>
              </c:numCache>
            </c:numRef>
          </c:xVal>
          <c:yVal>
            <c:numRef>
              <c:f>Visuals!$C$22:$C$24</c:f>
              <c:numCache>
                <c:formatCode>General</c:formatCode>
                <c:ptCount val="3"/>
                <c:pt idx="0">
                  <c:v>26600</c:v>
                </c:pt>
                <c:pt idx="1">
                  <c:v>10700</c:v>
                </c:pt>
                <c:pt idx="2">
                  <c:v>14640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0-430E-BEC8-EB95CFDA5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950272"/>
        <c:axId val="1773949792"/>
      </c:scatterChart>
      <c:valAx>
        <c:axId val="177395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49792"/>
        <c:crosses val="autoZero"/>
        <c:crossBetween val="midCat"/>
      </c:valAx>
      <c:valAx>
        <c:axId val="17739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Emissions (tons)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5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ESG Scores by Country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Visuals!$B$29</c:f>
              <c:strCache>
                <c:ptCount val="1"/>
                <c:pt idx="0">
                  <c:v>ESG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Visuals!$A$30:$A$32</c:f>
              <c:strCache>
                <c:ptCount val="3"/>
                <c:pt idx="0">
                  <c:v>USA</c:v>
                </c:pt>
                <c:pt idx="1">
                  <c:v>Norway</c:v>
                </c:pt>
                <c:pt idx="2">
                  <c:v>Nigeria</c:v>
                </c:pt>
              </c:strCache>
            </c:strRef>
          </c:cat>
          <c:val>
            <c:numRef>
              <c:f>Visuals!$B$30:$B$32</c:f>
              <c:numCache>
                <c:formatCode>General</c:formatCode>
                <c:ptCount val="3"/>
                <c:pt idx="0">
                  <c:v>66</c:v>
                </c:pt>
                <c:pt idx="1">
                  <c:v>82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D-46E1-ABA5-5307D6B0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9499728"/>
        <c:axId val="1659501168"/>
      </c:barChart>
      <c:catAx>
        <c:axId val="165949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01168"/>
        <c:crosses val="autoZero"/>
        <c:auto val="1"/>
        <c:lblAlgn val="ctr"/>
        <c:lblOffset val="100"/>
        <c:noMultiLvlLbl val="0"/>
      </c:catAx>
      <c:valAx>
        <c:axId val="165950116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9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979593</xdr:colOff>
      <xdr:row>0</xdr:row>
      <xdr:rowOff>0</xdr:rowOff>
    </xdr:from>
    <xdr:to>
      <xdr:col>16</xdr:col>
      <xdr:colOff>971126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63C8E-E678-C35F-21A8-7A0EC2B0E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979593</xdr:colOff>
      <xdr:row>19</xdr:row>
      <xdr:rowOff>0</xdr:rowOff>
    </xdr:from>
    <xdr:to>
      <xdr:col>16</xdr:col>
      <xdr:colOff>971126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6E6FE-7F4E-8D09-EFCA-581415591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979593</xdr:colOff>
      <xdr:row>38</xdr:row>
      <xdr:rowOff>0</xdr:rowOff>
    </xdr:from>
    <xdr:to>
      <xdr:col>16</xdr:col>
      <xdr:colOff>971126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84E60B-4885-B75F-4076-2DFDF2F08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979593</xdr:colOff>
      <xdr:row>57</xdr:row>
      <xdr:rowOff>0</xdr:rowOff>
    </xdr:from>
    <xdr:to>
      <xdr:col>16</xdr:col>
      <xdr:colOff>971126</xdr:colOff>
      <xdr:row>75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8BAA41-2EAC-FFA2-581E-F1BACAF5E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15635-9211-4442-895D-CD118C811F21}" name="Table1" displayName="Table1" ref="A1:H76" totalsRowShown="0" headerRowDxfId="9" dataDxfId="8">
  <autoFilter ref="A1:H76" xr:uid="{8A415635-9211-4442-895D-CD118C811F21}"/>
  <tableColumns count="8">
    <tableColumn id="1" xr3:uid="{1DCCE0C0-F2D4-4AFE-A188-58D6DD8E3946}" name="Country" dataDxfId="7"/>
    <tableColumn id="2" xr3:uid="{3953EB24-1F98-40FA-9784-2D174B95FF3E}" name="Year" dataDxfId="6"/>
    <tableColumn id="3" xr3:uid="{939C2767-DFAA-478E-867E-BDF1A9A410E0}" name="Energy Source" dataDxfId="5"/>
    <tableColumn id="4" xr3:uid="{8E1F16BA-89AF-49AB-8D85-F148F41DADD6}" name="Production (GWh)" dataDxfId="4"/>
    <tableColumn id="5" xr3:uid="{E2C681F9-A400-4ED4-B3C1-D73C009D351D}" name="Revenue ($M)" dataDxfId="3"/>
    <tableColumn id="6" xr3:uid="{42392872-574F-4D5F-9B9C-AEE7F34EC8C4}" name="CO2 Emissions (tons)" dataDxfId="2"/>
    <tableColumn id="7" xr3:uid="{D009AE78-4E92-4A49-B53D-7C3E21A0AC0B}" name="Budget Revenue ($M)" dataDxfId="1"/>
    <tableColumn id="8" xr3:uid="{65084215-CE1A-4CD9-B6E6-0EADBB0CDB7A}" name="ESG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FFBA-5624-4B36-84C5-21269DAEC0EE}">
  <dimension ref="A1:H76"/>
  <sheetViews>
    <sheetView workbookViewId="0">
      <selection activeCell="A7" sqref="A7"/>
    </sheetView>
  </sheetViews>
  <sheetFormatPr defaultRowHeight="24" x14ac:dyDescent="0.85"/>
  <cols>
    <col min="3" max="3" width="13.33203125" customWidth="1"/>
    <col min="4" max="4" width="16.33203125" customWidth="1"/>
    <col min="5" max="5" width="12.8125" customWidth="1"/>
    <col min="6" max="6" width="19.03515625" customWidth="1"/>
    <col min="7" max="7" width="18.9609375" customWidth="1"/>
    <col min="8" max="8" width="10.14453125" customWidth="1"/>
  </cols>
  <sheetData>
    <row r="1" spans="1:8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85">
      <c r="A2" s="2" t="s">
        <v>8</v>
      </c>
      <c r="B2" s="2">
        <v>2019</v>
      </c>
      <c r="C2" s="2" t="s">
        <v>9</v>
      </c>
      <c r="D2" s="2">
        <v>4000</v>
      </c>
      <c r="E2" s="2">
        <v>320</v>
      </c>
      <c r="F2" s="2">
        <v>9000</v>
      </c>
      <c r="G2" s="2">
        <v>300</v>
      </c>
      <c r="H2" s="2">
        <v>62</v>
      </c>
    </row>
    <row r="3" spans="1:8" x14ac:dyDescent="0.85">
      <c r="A3" s="2" t="s">
        <v>8</v>
      </c>
      <c r="B3" s="2">
        <v>2019</v>
      </c>
      <c r="C3" s="2" t="s">
        <v>10</v>
      </c>
      <c r="D3" s="2">
        <v>3500</v>
      </c>
      <c r="E3" s="2">
        <v>280</v>
      </c>
      <c r="F3" s="2">
        <v>7000</v>
      </c>
      <c r="G3" s="2">
        <v>260</v>
      </c>
      <c r="H3" s="2">
        <v>62</v>
      </c>
    </row>
    <row r="4" spans="1:8" x14ac:dyDescent="0.85">
      <c r="A4" s="2" t="s">
        <v>8</v>
      </c>
      <c r="B4" s="2">
        <v>2019</v>
      </c>
      <c r="C4" s="2" t="s">
        <v>11</v>
      </c>
      <c r="D4" s="2">
        <v>3000</v>
      </c>
      <c r="E4" s="2">
        <v>200</v>
      </c>
      <c r="F4" s="2">
        <v>11000</v>
      </c>
      <c r="G4" s="2">
        <v>220</v>
      </c>
      <c r="H4" s="2">
        <v>62</v>
      </c>
    </row>
    <row r="5" spans="1:8" x14ac:dyDescent="0.85">
      <c r="A5" s="2" t="s">
        <v>8</v>
      </c>
      <c r="B5" s="2">
        <v>2019</v>
      </c>
      <c r="C5" s="2" t="s">
        <v>12</v>
      </c>
      <c r="D5" s="2">
        <v>800</v>
      </c>
      <c r="E5" s="2">
        <v>90</v>
      </c>
      <c r="F5" s="2">
        <v>500</v>
      </c>
      <c r="G5" s="2">
        <v>80</v>
      </c>
      <c r="H5" s="2">
        <v>62</v>
      </c>
    </row>
    <row r="6" spans="1:8" x14ac:dyDescent="0.85">
      <c r="A6" s="2" t="s">
        <v>8</v>
      </c>
      <c r="B6" s="2">
        <v>2019</v>
      </c>
      <c r="C6" s="2" t="s">
        <v>13</v>
      </c>
      <c r="D6" s="2">
        <v>900</v>
      </c>
      <c r="E6" s="2">
        <v>100</v>
      </c>
      <c r="F6" s="2">
        <v>400</v>
      </c>
      <c r="G6" s="2">
        <v>90</v>
      </c>
      <c r="H6" s="2">
        <v>62</v>
      </c>
    </row>
    <row r="7" spans="1:8" x14ac:dyDescent="0.85">
      <c r="A7" s="2" t="s">
        <v>8</v>
      </c>
      <c r="B7" s="2">
        <v>2020</v>
      </c>
      <c r="C7" s="2" t="s">
        <v>9</v>
      </c>
      <c r="D7" s="2">
        <v>3800</v>
      </c>
      <c r="E7" s="2">
        <v>300</v>
      </c>
      <c r="F7" s="2">
        <v>8800</v>
      </c>
      <c r="G7" s="2">
        <v>310</v>
      </c>
      <c r="H7" s="2">
        <v>63</v>
      </c>
    </row>
    <row r="8" spans="1:8" x14ac:dyDescent="0.85">
      <c r="A8" s="2" t="s">
        <v>8</v>
      </c>
      <c r="B8" s="2">
        <v>2020</v>
      </c>
      <c r="C8" s="2" t="s">
        <v>10</v>
      </c>
      <c r="D8" s="2">
        <v>3600</v>
      </c>
      <c r="E8" s="2">
        <v>290</v>
      </c>
      <c r="F8" s="2">
        <v>7100</v>
      </c>
      <c r="G8" s="2">
        <v>270</v>
      </c>
      <c r="H8" s="2">
        <v>63</v>
      </c>
    </row>
    <row r="9" spans="1:8" x14ac:dyDescent="0.85">
      <c r="A9" s="2" t="s">
        <v>8</v>
      </c>
      <c r="B9" s="2">
        <v>2020</v>
      </c>
      <c r="C9" s="2" t="s">
        <v>11</v>
      </c>
      <c r="D9" s="2">
        <v>2800</v>
      </c>
      <c r="E9" s="2">
        <v>180</v>
      </c>
      <c r="F9" s="2">
        <v>10500</v>
      </c>
      <c r="G9" s="2">
        <v>210</v>
      </c>
      <c r="H9" s="2">
        <v>63</v>
      </c>
    </row>
    <row r="10" spans="1:8" x14ac:dyDescent="0.85">
      <c r="A10" s="2" t="s">
        <v>8</v>
      </c>
      <c r="B10" s="2">
        <v>2020</v>
      </c>
      <c r="C10" s="2" t="s">
        <v>12</v>
      </c>
      <c r="D10" s="2">
        <v>900</v>
      </c>
      <c r="E10" s="2">
        <v>100</v>
      </c>
      <c r="F10" s="2">
        <v>450</v>
      </c>
      <c r="G10" s="2">
        <v>85</v>
      </c>
      <c r="H10" s="2">
        <v>63</v>
      </c>
    </row>
    <row r="11" spans="1:8" x14ac:dyDescent="0.85">
      <c r="A11" s="2" t="s">
        <v>8</v>
      </c>
      <c r="B11" s="2">
        <v>2020</v>
      </c>
      <c r="C11" s="2" t="s">
        <v>13</v>
      </c>
      <c r="D11" s="2">
        <v>1000</v>
      </c>
      <c r="E11" s="2">
        <v>110</v>
      </c>
      <c r="F11" s="2">
        <v>350</v>
      </c>
      <c r="G11" s="2">
        <v>95</v>
      </c>
      <c r="H11" s="2">
        <v>63</v>
      </c>
    </row>
    <row r="12" spans="1:8" x14ac:dyDescent="0.85">
      <c r="A12" s="2" t="s">
        <v>8</v>
      </c>
      <c r="B12" s="2">
        <v>2021</v>
      </c>
      <c r="C12" s="2" t="s">
        <v>9</v>
      </c>
      <c r="D12" s="2">
        <v>3900</v>
      </c>
      <c r="E12" s="2">
        <v>330</v>
      </c>
      <c r="F12" s="2">
        <v>8900</v>
      </c>
      <c r="G12" s="2">
        <v>320</v>
      </c>
      <c r="H12" s="2">
        <v>64</v>
      </c>
    </row>
    <row r="13" spans="1:8" x14ac:dyDescent="0.85">
      <c r="A13" s="2" t="s">
        <v>8</v>
      </c>
      <c r="B13" s="2">
        <v>2021</v>
      </c>
      <c r="C13" s="2" t="s">
        <v>10</v>
      </c>
      <c r="D13" s="2">
        <v>3700</v>
      </c>
      <c r="E13" s="2">
        <v>300</v>
      </c>
      <c r="F13" s="2">
        <v>7200</v>
      </c>
      <c r="G13" s="2">
        <v>280</v>
      </c>
      <c r="H13" s="2">
        <v>64</v>
      </c>
    </row>
    <row r="14" spans="1:8" x14ac:dyDescent="0.85">
      <c r="A14" s="2" t="s">
        <v>8</v>
      </c>
      <c r="B14" s="2">
        <v>2021</v>
      </c>
      <c r="C14" s="2" t="s">
        <v>11</v>
      </c>
      <c r="D14" s="2">
        <v>2600</v>
      </c>
      <c r="E14" s="2">
        <v>170</v>
      </c>
      <c r="F14" s="2">
        <v>10000</v>
      </c>
      <c r="G14" s="2">
        <v>200</v>
      </c>
      <c r="H14" s="2">
        <v>64</v>
      </c>
    </row>
    <row r="15" spans="1:8" x14ac:dyDescent="0.85">
      <c r="A15" s="2" t="s">
        <v>8</v>
      </c>
      <c r="B15" s="2">
        <v>2021</v>
      </c>
      <c r="C15" s="2" t="s">
        <v>12</v>
      </c>
      <c r="D15" s="2">
        <v>1100</v>
      </c>
      <c r="E15" s="2">
        <v>120</v>
      </c>
      <c r="F15" s="2">
        <v>400</v>
      </c>
      <c r="G15" s="2">
        <v>100</v>
      </c>
      <c r="H15" s="2">
        <v>64</v>
      </c>
    </row>
    <row r="16" spans="1:8" x14ac:dyDescent="0.85">
      <c r="A16" s="2" t="s">
        <v>8</v>
      </c>
      <c r="B16" s="2">
        <v>2021</v>
      </c>
      <c r="C16" s="2" t="s">
        <v>13</v>
      </c>
      <c r="D16" s="2">
        <v>1200</v>
      </c>
      <c r="E16" s="2">
        <v>130</v>
      </c>
      <c r="F16" s="2">
        <v>300</v>
      </c>
      <c r="G16" s="2">
        <v>110</v>
      </c>
      <c r="H16" s="2">
        <v>64</v>
      </c>
    </row>
    <row r="17" spans="1:8" x14ac:dyDescent="0.85">
      <c r="A17" s="2" t="s">
        <v>8</v>
      </c>
      <c r="B17" s="2">
        <v>2022</v>
      </c>
      <c r="C17" s="2" t="s">
        <v>9</v>
      </c>
      <c r="D17" s="2">
        <v>4100</v>
      </c>
      <c r="E17" s="2">
        <v>360</v>
      </c>
      <c r="F17" s="2">
        <v>9100</v>
      </c>
      <c r="G17" s="2">
        <v>340</v>
      </c>
      <c r="H17" s="2">
        <v>65</v>
      </c>
    </row>
    <row r="18" spans="1:8" x14ac:dyDescent="0.85">
      <c r="A18" s="2" t="s">
        <v>8</v>
      </c>
      <c r="B18" s="2">
        <v>2022</v>
      </c>
      <c r="C18" s="2" t="s">
        <v>10</v>
      </c>
      <c r="D18" s="2">
        <v>3800</v>
      </c>
      <c r="E18" s="2">
        <v>320</v>
      </c>
      <c r="F18" s="2">
        <v>7300</v>
      </c>
      <c r="G18" s="2">
        <v>300</v>
      </c>
      <c r="H18" s="2">
        <v>65</v>
      </c>
    </row>
    <row r="19" spans="1:8" x14ac:dyDescent="0.85">
      <c r="A19" s="2" t="s">
        <v>8</v>
      </c>
      <c r="B19" s="2">
        <v>2022</v>
      </c>
      <c r="C19" s="2" t="s">
        <v>11</v>
      </c>
      <c r="D19" s="2">
        <v>2400</v>
      </c>
      <c r="E19" s="2">
        <v>160</v>
      </c>
      <c r="F19" s="2">
        <v>9800</v>
      </c>
      <c r="G19" s="2">
        <v>190</v>
      </c>
      <c r="H19" s="2">
        <v>65</v>
      </c>
    </row>
    <row r="20" spans="1:8" x14ac:dyDescent="0.85">
      <c r="A20" s="2" t="s">
        <v>8</v>
      </c>
      <c r="B20" s="2">
        <v>2022</v>
      </c>
      <c r="C20" s="2" t="s">
        <v>12</v>
      </c>
      <c r="D20" s="2">
        <v>1300</v>
      </c>
      <c r="E20" s="2">
        <v>140</v>
      </c>
      <c r="F20" s="2">
        <v>350</v>
      </c>
      <c r="G20" s="2">
        <v>120</v>
      </c>
      <c r="H20" s="2">
        <v>65</v>
      </c>
    </row>
    <row r="21" spans="1:8" x14ac:dyDescent="0.85">
      <c r="A21" s="2" t="s">
        <v>8</v>
      </c>
      <c r="B21" s="2">
        <v>2022</v>
      </c>
      <c r="C21" s="2" t="s">
        <v>13</v>
      </c>
      <c r="D21" s="2">
        <v>1400</v>
      </c>
      <c r="E21" s="2">
        <v>150</v>
      </c>
      <c r="F21" s="2">
        <v>250</v>
      </c>
      <c r="G21" s="2">
        <v>130</v>
      </c>
      <c r="H21" s="2">
        <v>65</v>
      </c>
    </row>
    <row r="22" spans="1:8" x14ac:dyDescent="0.85">
      <c r="A22" s="2" t="s">
        <v>8</v>
      </c>
      <c r="B22" s="2">
        <v>2023</v>
      </c>
      <c r="C22" s="2" t="s">
        <v>9</v>
      </c>
      <c r="D22" s="2">
        <v>4200</v>
      </c>
      <c r="E22" s="2">
        <v>380</v>
      </c>
      <c r="F22" s="2">
        <v>9200</v>
      </c>
      <c r="G22" s="2">
        <v>360</v>
      </c>
      <c r="H22" s="2">
        <v>66</v>
      </c>
    </row>
    <row r="23" spans="1:8" x14ac:dyDescent="0.85">
      <c r="A23" s="2" t="s">
        <v>8</v>
      </c>
      <c r="B23" s="2">
        <v>2023</v>
      </c>
      <c r="C23" s="2" t="s">
        <v>10</v>
      </c>
      <c r="D23" s="2">
        <v>3900</v>
      </c>
      <c r="E23" s="2">
        <v>340</v>
      </c>
      <c r="F23" s="2">
        <v>7400</v>
      </c>
      <c r="G23" s="2">
        <v>320</v>
      </c>
      <c r="H23" s="2">
        <v>66</v>
      </c>
    </row>
    <row r="24" spans="1:8" x14ac:dyDescent="0.85">
      <c r="A24" s="2" t="s">
        <v>8</v>
      </c>
      <c r="B24" s="2">
        <v>2023</v>
      </c>
      <c r="C24" s="2" t="s">
        <v>11</v>
      </c>
      <c r="D24" s="2">
        <v>2200</v>
      </c>
      <c r="E24" s="2">
        <v>150</v>
      </c>
      <c r="F24" s="2">
        <v>9500</v>
      </c>
      <c r="G24" s="2">
        <v>180</v>
      </c>
      <c r="H24" s="2">
        <v>66</v>
      </c>
    </row>
    <row r="25" spans="1:8" x14ac:dyDescent="0.85">
      <c r="A25" s="2" t="s">
        <v>8</v>
      </c>
      <c r="B25" s="2">
        <v>2023</v>
      </c>
      <c r="C25" s="2" t="s">
        <v>12</v>
      </c>
      <c r="D25" s="2">
        <v>1500</v>
      </c>
      <c r="E25" s="2">
        <v>160</v>
      </c>
      <c r="F25" s="2">
        <v>300</v>
      </c>
      <c r="G25" s="2">
        <v>140</v>
      </c>
      <c r="H25" s="2">
        <v>66</v>
      </c>
    </row>
    <row r="26" spans="1:8" x14ac:dyDescent="0.85">
      <c r="A26" s="2" t="s">
        <v>8</v>
      </c>
      <c r="B26" s="2">
        <v>2023</v>
      </c>
      <c r="C26" s="2" t="s">
        <v>13</v>
      </c>
      <c r="D26" s="2">
        <v>1600</v>
      </c>
      <c r="E26" s="2">
        <v>170</v>
      </c>
      <c r="F26" s="2">
        <v>200</v>
      </c>
      <c r="G26" s="2">
        <v>150</v>
      </c>
      <c r="H26" s="2">
        <v>66</v>
      </c>
    </row>
    <row r="27" spans="1:8" x14ac:dyDescent="0.85">
      <c r="A27" s="2" t="s">
        <v>14</v>
      </c>
      <c r="B27" s="2">
        <v>2019</v>
      </c>
      <c r="C27" s="2" t="s">
        <v>9</v>
      </c>
      <c r="D27" s="2">
        <v>2500</v>
      </c>
      <c r="E27" s="2">
        <v>280</v>
      </c>
      <c r="F27" s="2">
        <v>5000</v>
      </c>
      <c r="G27" s="2">
        <v>260</v>
      </c>
      <c r="H27" s="2">
        <v>78</v>
      </c>
    </row>
    <row r="28" spans="1:8" x14ac:dyDescent="0.85">
      <c r="A28" s="2" t="s">
        <v>14</v>
      </c>
      <c r="B28" s="2">
        <v>2019</v>
      </c>
      <c r="C28" s="2" t="s">
        <v>10</v>
      </c>
      <c r="D28" s="2">
        <v>2200</v>
      </c>
      <c r="E28" s="2">
        <v>250</v>
      </c>
      <c r="F28" s="2">
        <v>4500</v>
      </c>
      <c r="G28" s="2">
        <v>240</v>
      </c>
      <c r="H28" s="2">
        <v>78</v>
      </c>
    </row>
    <row r="29" spans="1:8" x14ac:dyDescent="0.85">
      <c r="A29" s="2" t="s">
        <v>14</v>
      </c>
      <c r="B29" s="2">
        <v>2019</v>
      </c>
      <c r="C29" s="2" t="s">
        <v>11</v>
      </c>
      <c r="D29" s="2">
        <v>200</v>
      </c>
      <c r="E29" s="2">
        <v>40</v>
      </c>
      <c r="F29" s="2">
        <v>800</v>
      </c>
      <c r="G29" s="2">
        <v>50</v>
      </c>
      <c r="H29" s="2">
        <v>78</v>
      </c>
    </row>
    <row r="30" spans="1:8" x14ac:dyDescent="0.85">
      <c r="A30" s="2" t="s">
        <v>14</v>
      </c>
      <c r="B30" s="2">
        <v>2019</v>
      </c>
      <c r="C30" s="2" t="s">
        <v>12</v>
      </c>
      <c r="D30" s="2">
        <v>300</v>
      </c>
      <c r="E30" s="2">
        <v>50</v>
      </c>
      <c r="F30" s="2">
        <v>100</v>
      </c>
      <c r="G30" s="2">
        <v>45</v>
      </c>
      <c r="H30" s="2">
        <v>78</v>
      </c>
    </row>
    <row r="31" spans="1:8" x14ac:dyDescent="0.85">
      <c r="A31" s="2" t="s">
        <v>14</v>
      </c>
      <c r="B31" s="2">
        <v>2019</v>
      </c>
      <c r="C31" s="2" t="s">
        <v>13</v>
      </c>
      <c r="D31" s="2">
        <v>700</v>
      </c>
      <c r="E31" s="2">
        <v>90</v>
      </c>
      <c r="F31" s="2">
        <v>80</v>
      </c>
      <c r="G31" s="2">
        <v>80</v>
      </c>
      <c r="H31" s="2">
        <v>78</v>
      </c>
    </row>
    <row r="32" spans="1:8" x14ac:dyDescent="0.85">
      <c r="A32" s="2" t="s">
        <v>14</v>
      </c>
      <c r="B32" s="2">
        <v>2020</v>
      </c>
      <c r="C32" s="2" t="s">
        <v>9</v>
      </c>
      <c r="D32" s="2">
        <v>2400</v>
      </c>
      <c r="E32" s="2">
        <v>270</v>
      </c>
      <c r="F32" s="2">
        <v>4900</v>
      </c>
      <c r="G32" s="2">
        <v>250</v>
      </c>
      <c r="H32" s="2">
        <v>79</v>
      </c>
    </row>
    <row r="33" spans="1:8" x14ac:dyDescent="0.85">
      <c r="A33" s="2" t="s">
        <v>14</v>
      </c>
      <c r="B33" s="2">
        <v>2020</v>
      </c>
      <c r="C33" s="2" t="s">
        <v>10</v>
      </c>
      <c r="D33" s="2">
        <v>2300</v>
      </c>
      <c r="E33" s="2">
        <v>260</v>
      </c>
      <c r="F33" s="2">
        <v>4600</v>
      </c>
      <c r="G33" s="2">
        <v>250</v>
      </c>
      <c r="H33" s="2">
        <v>79</v>
      </c>
    </row>
    <row r="34" spans="1:8" x14ac:dyDescent="0.85">
      <c r="A34" s="2" t="s">
        <v>14</v>
      </c>
      <c r="B34" s="2">
        <v>2020</v>
      </c>
      <c r="C34" s="2" t="s">
        <v>11</v>
      </c>
      <c r="D34" s="2">
        <v>150</v>
      </c>
      <c r="E34" s="2">
        <v>30</v>
      </c>
      <c r="F34" s="2">
        <v>700</v>
      </c>
      <c r="G34" s="2">
        <v>40</v>
      </c>
      <c r="H34" s="2">
        <v>79</v>
      </c>
    </row>
    <row r="35" spans="1:8" x14ac:dyDescent="0.85">
      <c r="A35" s="2" t="s">
        <v>14</v>
      </c>
      <c r="B35" s="2">
        <v>2020</v>
      </c>
      <c r="C35" s="2" t="s">
        <v>12</v>
      </c>
      <c r="D35" s="2">
        <v>350</v>
      </c>
      <c r="E35" s="2">
        <v>55</v>
      </c>
      <c r="F35" s="2">
        <v>90</v>
      </c>
      <c r="G35" s="2">
        <v>50</v>
      </c>
      <c r="H35" s="2">
        <v>79</v>
      </c>
    </row>
    <row r="36" spans="1:8" x14ac:dyDescent="0.85">
      <c r="A36" s="2" t="s">
        <v>14</v>
      </c>
      <c r="B36" s="2">
        <v>2020</v>
      </c>
      <c r="C36" s="2" t="s">
        <v>13</v>
      </c>
      <c r="D36" s="2">
        <v>800</v>
      </c>
      <c r="E36" s="2">
        <v>100</v>
      </c>
      <c r="F36" s="2">
        <v>70</v>
      </c>
      <c r="G36" s="2">
        <v>90</v>
      </c>
      <c r="H36" s="2">
        <v>79</v>
      </c>
    </row>
    <row r="37" spans="1:8" x14ac:dyDescent="0.85">
      <c r="A37" s="2" t="s">
        <v>14</v>
      </c>
      <c r="B37" s="2">
        <v>2021</v>
      </c>
      <c r="C37" s="2" t="s">
        <v>9</v>
      </c>
      <c r="D37" s="2">
        <v>2600</v>
      </c>
      <c r="E37" s="2">
        <v>300</v>
      </c>
      <c r="F37" s="2">
        <v>5100</v>
      </c>
      <c r="G37" s="2">
        <v>270</v>
      </c>
      <c r="H37" s="2">
        <v>80</v>
      </c>
    </row>
    <row r="38" spans="1:8" x14ac:dyDescent="0.85">
      <c r="A38" s="2" t="s">
        <v>14</v>
      </c>
      <c r="B38" s="2">
        <v>2021</v>
      </c>
      <c r="C38" s="2" t="s">
        <v>10</v>
      </c>
      <c r="D38" s="2">
        <v>2400</v>
      </c>
      <c r="E38" s="2">
        <v>280</v>
      </c>
      <c r="F38" s="2">
        <v>4700</v>
      </c>
      <c r="G38" s="2">
        <v>260</v>
      </c>
      <c r="H38" s="2">
        <v>80</v>
      </c>
    </row>
    <row r="39" spans="1:8" x14ac:dyDescent="0.85">
      <c r="A39" s="2" t="s">
        <v>14</v>
      </c>
      <c r="B39" s="2">
        <v>2021</v>
      </c>
      <c r="C39" s="2" t="s">
        <v>11</v>
      </c>
      <c r="D39" s="2">
        <v>100</v>
      </c>
      <c r="E39" s="2">
        <v>20</v>
      </c>
      <c r="F39" s="2">
        <v>600</v>
      </c>
      <c r="G39" s="2">
        <v>30</v>
      </c>
      <c r="H39" s="2">
        <v>80</v>
      </c>
    </row>
    <row r="40" spans="1:8" x14ac:dyDescent="0.85">
      <c r="A40" s="2" t="s">
        <v>14</v>
      </c>
      <c r="B40" s="2">
        <v>2021</v>
      </c>
      <c r="C40" s="2" t="s">
        <v>12</v>
      </c>
      <c r="D40" s="2">
        <v>400</v>
      </c>
      <c r="E40" s="2">
        <v>60</v>
      </c>
      <c r="F40" s="2">
        <v>80</v>
      </c>
      <c r="G40" s="2">
        <v>55</v>
      </c>
      <c r="H40" s="2">
        <v>80</v>
      </c>
    </row>
    <row r="41" spans="1:8" x14ac:dyDescent="0.85">
      <c r="A41" s="2" t="s">
        <v>14</v>
      </c>
      <c r="B41" s="2">
        <v>2021</v>
      </c>
      <c r="C41" s="2" t="s">
        <v>13</v>
      </c>
      <c r="D41" s="2">
        <v>900</v>
      </c>
      <c r="E41" s="2">
        <v>120</v>
      </c>
      <c r="F41" s="2">
        <v>60</v>
      </c>
      <c r="G41" s="2">
        <v>100</v>
      </c>
      <c r="H41" s="2">
        <v>80</v>
      </c>
    </row>
    <row r="42" spans="1:8" x14ac:dyDescent="0.85">
      <c r="A42" s="2" t="s">
        <v>14</v>
      </c>
      <c r="B42" s="2">
        <v>2022</v>
      </c>
      <c r="C42" s="2" t="s">
        <v>9</v>
      </c>
      <c r="D42" s="2">
        <v>2700</v>
      </c>
      <c r="E42" s="2">
        <v>320</v>
      </c>
      <c r="F42" s="2">
        <v>5200</v>
      </c>
      <c r="G42" s="2">
        <v>290</v>
      </c>
      <c r="H42" s="2">
        <v>81</v>
      </c>
    </row>
    <row r="43" spans="1:8" x14ac:dyDescent="0.85">
      <c r="A43" s="2" t="s">
        <v>14</v>
      </c>
      <c r="B43" s="2">
        <v>2022</v>
      </c>
      <c r="C43" s="2" t="s">
        <v>10</v>
      </c>
      <c r="D43" s="2">
        <v>2500</v>
      </c>
      <c r="E43" s="2">
        <v>300</v>
      </c>
      <c r="F43" s="2">
        <v>4800</v>
      </c>
      <c r="G43" s="2">
        <v>280</v>
      </c>
      <c r="H43" s="2">
        <v>81</v>
      </c>
    </row>
    <row r="44" spans="1:8" x14ac:dyDescent="0.85">
      <c r="A44" s="2" t="s">
        <v>14</v>
      </c>
      <c r="B44" s="2">
        <v>2022</v>
      </c>
      <c r="C44" s="2" t="s">
        <v>11</v>
      </c>
      <c r="D44" s="2">
        <v>80</v>
      </c>
      <c r="E44" s="2">
        <v>15</v>
      </c>
      <c r="F44" s="2">
        <v>500</v>
      </c>
      <c r="G44" s="2">
        <v>25</v>
      </c>
      <c r="H44" s="2">
        <v>81</v>
      </c>
    </row>
    <row r="45" spans="1:8" x14ac:dyDescent="0.85">
      <c r="A45" s="2" t="s">
        <v>14</v>
      </c>
      <c r="B45" s="2">
        <v>2022</v>
      </c>
      <c r="C45" s="2" t="s">
        <v>12</v>
      </c>
      <c r="D45" s="2">
        <v>450</v>
      </c>
      <c r="E45" s="2">
        <v>70</v>
      </c>
      <c r="F45" s="2">
        <v>70</v>
      </c>
      <c r="G45" s="2">
        <v>60</v>
      </c>
      <c r="H45" s="2">
        <v>81</v>
      </c>
    </row>
    <row r="46" spans="1:8" x14ac:dyDescent="0.85">
      <c r="A46" s="2" t="s">
        <v>14</v>
      </c>
      <c r="B46" s="2">
        <v>2022</v>
      </c>
      <c r="C46" s="2" t="s">
        <v>13</v>
      </c>
      <c r="D46" s="2">
        <v>1000</v>
      </c>
      <c r="E46" s="2">
        <v>140</v>
      </c>
      <c r="F46" s="2">
        <v>50</v>
      </c>
      <c r="G46" s="2">
        <v>110</v>
      </c>
      <c r="H46" s="2">
        <v>81</v>
      </c>
    </row>
    <row r="47" spans="1:8" x14ac:dyDescent="0.85">
      <c r="A47" s="2" t="s">
        <v>14</v>
      </c>
      <c r="B47" s="2">
        <v>2023</v>
      </c>
      <c r="C47" s="2" t="s">
        <v>9</v>
      </c>
      <c r="D47" s="2">
        <v>2800</v>
      </c>
      <c r="E47" s="2">
        <v>340</v>
      </c>
      <c r="F47" s="2">
        <v>5300</v>
      </c>
      <c r="G47" s="2">
        <v>310</v>
      </c>
      <c r="H47" s="2">
        <v>82</v>
      </c>
    </row>
    <row r="48" spans="1:8" x14ac:dyDescent="0.85">
      <c r="A48" s="2" t="s">
        <v>14</v>
      </c>
      <c r="B48" s="2">
        <v>2023</v>
      </c>
      <c r="C48" s="2" t="s">
        <v>10</v>
      </c>
      <c r="D48" s="2">
        <v>2600</v>
      </c>
      <c r="E48" s="2">
        <v>320</v>
      </c>
      <c r="F48" s="2">
        <v>4900</v>
      </c>
      <c r="G48" s="2">
        <v>300</v>
      </c>
      <c r="H48" s="2">
        <v>82</v>
      </c>
    </row>
    <row r="49" spans="1:8" x14ac:dyDescent="0.85">
      <c r="A49" s="2" t="s">
        <v>14</v>
      </c>
      <c r="B49" s="2">
        <v>2023</v>
      </c>
      <c r="C49" s="2" t="s">
        <v>11</v>
      </c>
      <c r="D49" s="2">
        <v>50</v>
      </c>
      <c r="E49" s="2">
        <v>10</v>
      </c>
      <c r="F49" s="2">
        <v>400</v>
      </c>
      <c r="G49" s="2">
        <v>20</v>
      </c>
      <c r="H49" s="2">
        <v>82</v>
      </c>
    </row>
    <row r="50" spans="1:8" x14ac:dyDescent="0.85">
      <c r="A50" s="2" t="s">
        <v>14</v>
      </c>
      <c r="B50" s="2">
        <v>2023</v>
      </c>
      <c r="C50" s="2" t="s">
        <v>12</v>
      </c>
      <c r="D50" s="2">
        <v>500</v>
      </c>
      <c r="E50" s="2">
        <v>80</v>
      </c>
      <c r="F50" s="2">
        <v>60</v>
      </c>
      <c r="G50" s="2">
        <v>70</v>
      </c>
      <c r="H50" s="2">
        <v>82</v>
      </c>
    </row>
    <row r="51" spans="1:8" x14ac:dyDescent="0.85">
      <c r="A51" s="2" t="s">
        <v>14</v>
      </c>
      <c r="B51" s="2">
        <v>2023</v>
      </c>
      <c r="C51" s="2" t="s">
        <v>13</v>
      </c>
      <c r="D51" s="2">
        <v>1100</v>
      </c>
      <c r="E51" s="2">
        <v>160</v>
      </c>
      <c r="F51" s="2">
        <v>40</v>
      </c>
      <c r="G51" s="2">
        <v>120</v>
      </c>
      <c r="H51" s="2">
        <v>82</v>
      </c>
    </row>
    <row r="52" spans="1:8" x14ac:dyDescent="0.85">
      <c r="A52" s="2" t="s">
        <v>15</v>
      </c>
      <c r="B52" s="2">
        <v>2019</v>
      </c>
      <c r="C52" s="2" t="s">
        <v>9</v>
      </c>
      <c r="D52" s="2">
        <v>3000</v>
      </c>
      <c r="E52" s="2">
        <v>200</v>
      </c>
      <c r="F52" s="2">
        <v>7000</v>
      </c>
      <c r="G52" s="2">
        <v>220</v>
      </c>
      <c r="H52" s="2">
        <v>50</v>
      </c>
    </row>
    <row r="53" spans="1:8" x14ac:dyDescent="0.85">
      <c r="A53" s="2" t="s">
        <v>15</v>
      </c>
      <c r="B53" s="2">
        <v>2019</v>
      </c>
      <c r="C53" s="2" t="s">
        <v>10</v>
      </c>
      <c r="D53" s="2">
        <v>2000</v>
      </c>
      <c r="E53" s="2">
        <v>150</v>
      </c>
      <c r="F53" s="2">
        <v>5000</v>
      </c>
      <c r="G53" s="2">
        <v>160</v>
      </c>
      <c r="H53" s="2">
        <v>50</v>
      </c>
    </row>
    <row r="54" spans="1:8" x14ac:dyDescent="0.85">
      <c r="A54" s="2" t="s">
        <v>15</v>
      </c>
      <c r="B54" s="2">
        <v>2019</v>
      </c>
      <c r="C54" s="2" t="s">
        <v>11</v>
      </c>
      <c r="D54" s="2">
        <v>500</v>
      </c>
      <c r="E54" s="2">
        <v>50</v>
      </c>
      <c r="F54" s="2">
        <v>2000</v>
      </c>
      <c r="G54" s="2">
        <v>60</v>
      </c>
      <c r="H54" s="2">
        <v>50</v>
      </c>
    </row>
    <row r="55" spans="1:8" x14ac:dyDescent="0.85">
      <c r="A55" s="2" t="s">
        <v>15</v>
      </c>
      <c r="B55" s="2">
        <v>2019</v>
      </c>
      <c r="C55" s="2" t="s">
        <v>12</v>
      </c>
      <c r="D55" s="2">
        <v>200</v>
      </c>
      <c r="E55" s="2">
        <v>30</v>
      </c>
      <c r="F55" s="2">
        <v>300</v>
      </c>
      <c r="G55" s="2">
        <v>40</v>
      </c>
      <c r="H55" s="2">
        <v>50</v>
      </c>
    </row>
    <row r="56" spans="1:8" x14ac:dyDescent="0.85">
      <c r="A56" s="2" t="s">
        <v>15</v>
      </c>
      <c r="B56" s="2">
        <v>2019</v>
      </c>
      <c r="C56" s="2" t="s">
        <v>13</v>
      </c>
      <c r="D56" s="2">
        <v>100</v>
      </c>
      <c r="E56" s="2">
        <v>20</v>
      </c>
      <c r="F56" s="2">
        <v>200</v>
      </c>
      <c r="G56" s="2">
        <v>30</v>
      </c>
      <c r="H56" s="2">
        <v>50</v>
      </c>
    </row>
    <row r="57" spans="1:8" x14ac:dyDescent="0.85">
      <c r="A57" s="2" t="s">
        <v>15</v>
      </c>
      <c r="B57" s="2">
        <v>2020</v>
      </c>
      <c r="C57" s="2" t="s">
        <v>9</v>
      </c>
      <c r="D57" s="2">
        <v>2900</v>
      </c>
      <c r="E57" s="2">
        <v>190</v>
      </c>
      <c r="F57" s="2">
        <v>6800</v>
      </c>
      <c r="G57" s="2">
        <v>210</v>
      </c>
      <c r="H57" s="2">
        <v>51</v>
      </c>
    </row>
    <row r="58" spans="1:8" x14ac:dyDescent="0.85">
      <c r="A58" s="2" t="s">
        <v>15</v>
      </c>
      <c r="B58" s="2">
        <v>2020</v>
      </c>
      <c r="C58" s="2" t="s">
        <v>10</v>
      </c>
      <c r="D58" s="2">
        <v>2100</v>
      </c>
      <c r="E58" s="2">
        <v>160</v>
      </c>
      <c r="F58" s="2">
        <v>5100</v>
      </c>
      <c r="G58" s="2">
        <v>170</v>
      </c>
      <c r="H58" s="2">
        <v>51</v>
      </c>
    </row>
    <row r="59" spans="1:8" x14ac:dyDescent="0.85">
      <c r="A59" s="2" t="s">
        <v>15</v>
      </c>
      <c r="B59" s="2">
        <v>2020</v>
      </c>
      <c r="C59" s="2" t="s">
        <v>11</v>
      </c>
      <c r="D59" s="2">
        <v>450</v>
      </c>
      <c r="E59" s="2">
        <v>45</v>
      </c>
      <c r="F59" s="2">
        <v>1900</v>
      </c>
      <c r="G59" s="2">
        <v>55</v>
      </c>
      <c r="H59" s="2">
        <v>51</v>
      </c>
    </row>
    <row r="60" spans="1:8" x14ac:dyDescent="0.85">
      <c r="A60" s="2" t="s">
        <v>15</v>
      </c>
      <c r="B60" s="2">
        <v>2020</v>
      </c>
      <c r="C60" s="2" t="s">
        <v>12</v>
      </c>
      <c r="D60" s="2">
        <v>250</v>
      </c>
      <c r="E60" s="2">
        <v>35</v>
      </c>
      <c r="F60" s="2">
        <v>280</v>
      </c>
      <c r="G60" s="2">
        <v>45</v>
      </c>
      <c r="H60" s="2">
        <v>51</v>
      </c>
    </row>
    <row r="61" spans="1:8" x14ac:dyDescent="0.85">
      <c r="A61" s="2" t="s">
        <v>15</v>
      </c>
      <c r="B61" s="2">
        <v>2020</v>
      </c>
      <c r="C61" s="2" t="s">
        <v>13</v>
      </c>
      <c r="D61" s="2">
        <v>120</v>
      </c>
      <c r="E61" s="2">
        <v>25</v>
      </c>
      <c r="F61" s="2">
        <v>180</v>
      </c>
      <c r="G61" s="2">
        <v>35</v>
      </c>
      <c r="H61" s="2">
        <v>51</v>
      </c>
    </row>
    <row r="62" spans="1:8" x14ac:dyDescent="0.85">
      <c r="A62" s="2" t="s">
        <v>15</v>
      </c>
      <c r="B62" s="2">
        <v>2021</v>
      </c>
      <c r="C62" s="2" t="s">
        <v>9</v>
      </c>
      <c r="D62" s="2">
        <v>3100</v>
      </c>
      <c r="E62" s="2">
        <v>220</v>
      </c>
      <c r="F62" s="2">
        <v>7100</v>
      </c>
      <c r="G62" s="2">
        <v>230</v>
      </c>
      <c r="H62" s="2">
        <v>52</v>
      </c>
    </row>
    <row r="63" spans="1:8" x14ac:dyDescent="0.85">
      <c r="A63" s="2" t="s">
        <v>15</v>
      </c>
      <c r="B63" s="2">
        <v>2021</v>
      </c>
      <c r="C63" s="2" t="s">
        <v>10</v>
      </c>
      <c r="D63" s="2">
        <v>2200</v>
      </c>
      <c r="E63" s="2">
        <v>170</v>
      </c>
      <c r="F63" s="2">
        <v>5200</v>
      </c>
      <c r="G63" s="2">
        <v>180</v>
      </c>
      <c r="H63" s="2">
        <v>52</v>
      </c>
    </row>
    <row r="64" spans="1:8" x14ac:dyDescent="0.85">
      <c r="A64" s="2" t="s">
        <v>15</v>
      </c>
      <c r="B64" s="2">
        <v>2021</v>
      </c>
      <c r="C64" s="2" t="s">
        <v>11</v>
      </c>
      <c r="D64" s="2">
        <v>400</v>
      </c>
      <c r="E64" s="2">
        <v>40</v>
      </c>
      <c r="F64" s="2">
        <v>1800</v>
      </c>
      <c r="G64" s="2">
        <v>50</v>
      </c>
      <c r="H64" s="2">
        <v>52</v>
      </c>
    </row>
    <row r="65" spans="1:8" x14ac:dyDescent="0.85">
      <c r="A65" s="2" t="s">
        <v>15</v>
      </c>
      <c r="B65" s="2">
        <v>2021</v>
      </c>
      <c r="C65" s="2" t="s">
        <v>12</v>
      </c>
      <c r="D65" s="2">
        <v>300</v>
      </c>
      <c r="E65" s="2">
        <v>40</v>
      </c>
      <c r="F65" s="2">
        <v>260</v>
      </c>
      <c r="G65" s="2">
        <v>50</v>
      </c>
      <c r="H65" s="2">
        <v>52</v>
      </c>
    </row>
    <row r="66" spans="1:8" x14ac:dyDescent="0.85">
      <c r="A66" s="2" t="s">
        <v>15</v>
      </c>
      <c r="B66" s="2">
        <v>2021</v>
      </c>
      <c r="C66" s="2" t="s">
        <v>13</v>
      </c>
      <c r="D66" s="2">
        <v>150</v>
      </c>
      <c r="E66" s="2">
        <v>30</v>
      </c>
      <c r="F66" s="2">
        <v>160</v>
      </c>
      <c r="G66" s="2">
        <v>40</v>
      </c>
      <c r="H66" s="2">
        <v>52</v>
      </c>
    </row>
    <row r="67" spans="1:8" x14ac:dyDescent="0.85">
      <c r="A67" s="2" t="s">
        <v>15</v>
      </c>
      <c r="B67" s="2">
        <v>2022</v>
      </c>
      <c r="C67" s="2" t="s">
        <v>9</v>
      </c>
      <c r="D67" s="2">
        <v>3200</v>
      </c>
      <c r="E67" s="2">
        <v>240</v>
      </c>
      <c r="F67" s="2">
        <v>7200</v>
      </c>
      <c r="G67" s="2">
        <v>250</v>
      </c>
      <c r="H67" s="2">
        <v>53</v>
      </c>
    </row>
    <row r="68" spans="1:8" x14ac:dyDescent="0.85">
      <c r="A68" s="2" t="s">
        <v>15</v>
      </c>
      <c r="B68" s="2">
        <v>2022</v>
      </c>
      <c r="C68" s="2" t="s">
        <v>10</v>
      </c>
      <c r="D68" s="2">
        <v>2300</v>
      </c>
      <c r="E68" s="2">
        <v>180</v>
      </c>
      <c r="F68" s="2">
        <v>5300</v>
      </c>
      <c r="G68" s="2">
        <v>190</v>
      </c>
      <c r="H68" s="2">
        <v>53</v>
      </c>
    </row>
    <row r="69" spans="1:8" x14ac:dyDescent="0.85">
      <c r="A69" s="2" t="s">
        <v>15</v>
      </c>
      <c r="B69" s="2">
        <v>2022</v>
      </c>
      <c r="C69" s="2" t="s">
        <v>11</v>
      </c>
      <c r="D69" s="2">
        <v>350</v>
      </c>
      <c r="E69" s="2">
        <v>35</v>
      </c>
      <c r="F69" s="2">
        <v>1700</v>
      </c>
      <c r="G69" s="2">
        <v>45</v>
      </c>
      <c r="H69" s="2">
        <v>53</v>
      </c>
    </row>
    <row r="70" spans="1:8" x14ac:dyDescent="0.85">
      <c r="A70" s="2" t="s">
        <v>15</v>
      </c>
      <c r="B70" s="2">
        <v>2022</v>
      </c>
      <c r="C70" s="2" t="s">
        <v>12</v>
      </c>
      <c r="D70" s="2">
        <v>350</v>
      </c>
      <c r="E70" s="2">
        <v>50</v>
      </c>
      <c r="F70" s="2">
        <v>240</v>
      </c>
      <c r="G70" s="2">
        <v>55</v>
      </c>
      <c r="H70" s="2">
        <v>53</v>
      </c>
    </row>
    <row r="71" spans="1:8" x14ac:dyDescent="0.85">
      <c r="A71" s="2" t="s">
        <v>15</v>
      </c>
      <c r="B71" s="2">
        <v>2022</v>
      </c>
      <c r="C71" s="2" t="s">
        <v>13</v>
      </c>
      <c r="D71" s="2">
        <v>180</v>
      </c>
      <c r="E71" s="2">
        <v>35</v>
      </c>
      <c r="F71" s="2">
        <v>140</v>
      </c>
      <c r="G71" s="2">
        <v>45</v>
      </c>
      <c r="H71" s="2">
        <v>53</v>
      </c>
    </row>
    <row r="72" spans="1:8" x14ac:dyDescent="0.85">
      <c r="A72" s="2" t="s">
        <v>15</v>
      </c>
      <c r="B72" s="2">
        <v>2023</v>
      </c>
      <c r="C72" s="2" t="s">
        <v>9</v>
      </c>
      <c r="D72" s="2">
        <v>3300</v>
      </c>
      <c r="E72" s="2">
        <v>260</v>
      </c>
      <c r="F72" s="2">
        <v>7300</v>
      </c>
      <c r="G72" s="2">
        <v>270</v>
      </c>
      <c r="H72" s="2">
        <v>54</v>
      </c>
    </row>
    <row r="73" spans="1:8" x14ac:dyDescent="0.85">
      <c r="A73" s="2" t="s">
        <v>15</v>
      </c>
      <c r="B73" s="2">
        <v>2023</v>
      </c>
      <c r="C73" s="2" t="s">
        <v>10</v>
      </c>
      <c r="D73" s="2">
        <v>2400</v>
      </c>
      <c r="E73" s="2">
        <v>190</v>
      </c>
      <c r="F73" s="2">
        <v>5400</v>
      </c>
      <c r="G73" s="2">
        <v>200</v>
      </c>
      <c r="H73" s="2">
        <v>54</v>
      </c>
    </row>
    <row r="74" spans="1:8" x14ac:dyDescent="0.85">
      <c r="A74" s="2" t="s">
        <v>15</v>
      </c>
      <c r="B74" s="2">
        <v>2023</v>
      </c>
      <c r="C74" s="2" t="s">
        <v>11</v>
      </c>
      <c r="D74" s="2">
        <v>300</v>
      </c>
      <c r="E74" s="2">
        <v>30</v>
      </c>
      <c r="F74" s="2">
        <v>1600</v>
      </c>
      <c r="G74" s="2">
        <v>40</v>
      </c>
      <c r="H74" s="2">
        <v>54</v>
      </c>
    </row>
    <row r="75" spans="1:8" x14ac:dyDescent="0.85">
      <c r="A75" s="2" t="s">
        <v>15</v>
      </c>
      <c r="B75" s="2">
        <v>2023</v>
      </c>
      <c r="C75" s="2" t="s">
        <v>12</v>
      </c>
      <c r="D75" s="2">
        <v>400</v>
      </c>
      <c r="E75" s="2">
        <v>60</v>
      </c>
      <c r="F75" s="2">
        <v>220</v>
      </c>
      <c r="G75" s="2">
        <v>60</v>
      </c>
      <c r="H75" s="2">
        <v>54</v>
      </c>
    </row>
    <row r="76" spans="1:8" x14ac:dyDescent="0.85">
      <c r="A76" s="2" t="s">
        <v>15</v>
      </c>
      <c r="B76" s="2">
        <v>2023</v>
      </c>
      <c r="C76" s="2" t="s">
        <v>13</v>
      </c>
      <c r="D76" s="2">
        <v>200</v>
      </c>
      <c r="E76" s="2">
        <v>40</v>
      </c>
      <c r="F76" s="2">
        <v>120</v>
      </c>
      <c r="G76" s="2">
        <v>50</v>
      </c>
      <c r="H76" s="2">
        <v>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4674-947A-415D-81C6-941381EECBC9}">
  <dimension ref="A1:A17"/>
  <sheetViews>
    <sheetView workbookViewId="0">
      <selection activeCell="A17" sqref="A1:A17"/>
    </sheetView>
  </sheetViews>
  <sheetFormatPr defaultRowHeight="24" x14ac:dyDescent="0.85"/>
  <sheetData>
    <row r="1" spans="1:1" x14ac:dyDescent="0.85">
      <c r="A1" t="s">
        <v>26</v>
      </c>
    </row>
    <row r="3" spans="1:1" x14ac:dyDescent="0.85">
      <c r="A3" t="s">
        <v>27</v>
      </c>
    </row>
    <row r="5" spans="1:1" x14ac:dyDescent="0.85">
      <c r="A5" t="s">
        <v>16</v>
      </c>
    </row>
    <row r="6" spans="1:1" x14ac:dyDescent="0.85">
      <c r="A6" t="s">
        <v>17</v>
      </c>
    </row>
    <row r="7" spans="1:1" x14ac:dyDescent="0.85">
      <c r="A7" t="s">
        <v>18</v>
      </c>
    </row>
    <row r="8" spans="1:1" x14ac:dyDescent="0.85">
      <c r="A8" t="s">
        <v>28</v>
      </c>
    </row>
    <row r="9" spans="1:1" x14ac:dyDescent="0.85">
      <c r="A9" s="3" t="s">
        <v>19</v>
      </c>
    </row>
    <row r="11" spans="1:1" x14ac:dyDescent="0.85">
      <c r="A11" t="s">
        <v>20</v>
      </c>
    </row>
    <row r="12" spans="1:1" x14ac:dyDescent="0.85">
      <c r="A12" t="s">
        <v>21</v>
      </c>
    </row>
    <row r="13" spans="1:1" x14ac:dyDescent="0.85">
      <c r="A13" t="s">
        <v>22</v>
      </c>
    </row>
    <row r="14" spans="1:1" x14ac:dyDescent="0.85">
      <c r="A14" t="s">
        <v>23</v>
      </c>
    </row>
    <row r="15" spans="1:1" x14ac:dyDescent="0.85">
      <c r="A15" t="s">
        <v>24</v>
      </c>
    </row>
    <row r="17" spans="1:1" x14ac:dyDescent="0.85">
      <c r="A1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0DF1-C6B8-41E2-A9A5-158B95A3AD27}">
  <dimension ref="A1:F32"/>
  <sheetViews>
    <sheetView tabSelected="1" zoomScale="40" zoomScaleNormal="40" workbookViewId="0">
      <selection activeCell="A14" sqref="A14"/>
    </sheetView>
  </sheetViews>
  <sheetFormatPr defaultRowHeight="24" x14ac:dyDescent="0.85"/>
  <cols>
    <col min="1" max="1" width="35.21875" bestFit="1" customWidth="1"/>
    <col min="2" max="2" width="16.3671875" bestFit="1" customWidth="1"/>
    <col min="3" max="3" width="23" bestFit="1" customWidth="1"/>
    <col min="4" max="4" width="4.62890625" bestFit="1" customWidth="1"/>
    <col min="5" max="5" width="4.9609375" bestFit="1" customWidth="1"/>
    <col min="6" max="6" width="4.92578125" bestFit="1" customWidth="1"/>
  </cols>
  <sheetData>
    <row r="1" spans="1:6" x14ac:dyDescent="0.85">
      <c r="A1" s="5" t="s">
        <v>29</v>
      </c>
    </row>
    <row r="3" spans="1:6" x14ac:dyDescent="0.85">
      <c r="A3" s="4" t="s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</row>
    <row r="4" spans="1:6" x14ac:dyDescent="0.85">
      <c r="A4">
        <v>2019</v>
      </c>
      <c r="B4">
        <f>SUMIFS(data!D:D,data!B:B,A4,data!C:C,"Oil")</f>
        <v>9500</v>
      </c>
      <c r="C4">
        <f>SUMIFS(data!D:D,data!B:B,A4,data!C:C,"Gas")</f>
        <v>7700</v>
      </c>
      <c r="D4">
        <f>SUMIFS(data!D:D,data!B:B,A4,data!C:C,"Coal")</f>
        <v>3700</v>
      </c>
      <c r="E4">
        <f>SUMIFS(data!D:D,data!B:B,A4,data!C:C,"Solar")</f>
        <v>1300</v>
      </c>
      <c r="F4">
        <f>SUMIFS(data!D:D,data!B:B,A4,data!C:C,"Wind")</f>
        <v>1700</v>
      </c>
    </row>
    <row r="5" spans="1:6" x14ac:dyDescent="0.85">
      <c r="A5">
        <v>2020</v>
      </c>
      <c r="B5">
        <f>SUMIFS(data!D:D,data!B:B,A5,data!C:C,"Oil")</f>
        <v>9100</v>
      </c>
      <c r="C5">
        <f>SUMIFS(data!D:D,data!B:B,A5,data!C:C,"Gas")</f>
        <v>8000</v>
      </c>
      <c r="D5">
        <f>SUMIFS(data!D:D,data!B:B,A5,data!C:C,"Coal")</f>
        <v>3400</v>
      </c>
      <c r="E5">
        <f>SUMIFS(data!D:D,data!B:B,A5,data!C:C,"Solar")</f>
        <v>1500</v>
      </c>
      <c r="F5">
        <f>SUMIFS(data!D:D,data!B:B,A5,data!C:C,"Wind")</f>
        <v>1920</v>
      </c>
    </row>
    <row r="6" spans="1:6" x14ac:dyDescent="0.85">
      <c r="A6">
        <v>2021</v>
      </c>
      <c r="B6">
        <f>SUMIFS(data!D:D,data!B:B,A6,data!C:C,"Oil")</f>
        <v>9600</v>
      </c>
      <c r="C6">
        <f>SUMIFS(data!D:D,data!B:B,A6,data!C:C,"Gas")</f>
        <v>8300</v>
      </c>
      <c r="D6">
        <f>SUMIFS(data!D:D,data!B:B,A6,data!C:C,"Coal")</f>
        <v>3100</v>
      </c>
      <c r="E6">
        <f>SUMIFS(data!D:D,data!B:B,A6,data!C:C,"Solar")</f>
        <v>1800</v>
      </c>
      <c r="F6">
        <f>SUMIFS(data!D:D,data!B:B,A6,data!C:C,"Wind")</f>
        <v>2250</v>
      </c>
    </row>
    <row r="7" spans="1:6" x14ac:dyDescent="0.85">
      <c r="A7">
        <v>2022</v>
      </c>
      <c r="B7">
        <f>SUMIFS(data!D:D,data!B:B,A7,data!C:C,"Oil")</f>
        <v>10000</v>
      </c>
      <c r="C7">
        <f>SUMIFS(data!D:D,data!B:B,A7,data!C:C,"Gas")</f>
        <v>8600</v>
      </c>
      <c r="D7">
        <f>SUMIFS(data!D:D,data!B:B,A7,data!C:C,"Coal")</f>
        <v>2830</v>
      </c>
      <c r="E7">
        <f>SUMIFS(data!D:D,data!B:B,A7,data!C:C,"Solar")</f>
        <v>2100</v>
      </c>
      <c r="F7">
        <f>SUMIFS(data!D:D,data!B:B,A7,data!C:C,"Wind")</f>
        <v>2580</v>
      </c>
    </row>
    <row r="8" spans="1:6" x14ac:dyDescent="0.85">
      <c r="A8">
        <v>2023</v>
      </c>
      <c r="B8">
        <f>SUMIFS(data!D:D,data!B:B,A8,data!C:C,"Oil")</f>
        <v>10300</v>
      </c>
      <c r="C8">
        <f>SUMIFS(data!D:D,data!B:B,A8,data!C:C,"Gas")</f>
        <v>8900</v>
      </c>
      <c r="D8">
        <f>SUMIFS(data!D:D,data!B:B,A8,data!C:C,"Coal")</f>
        <v>2550</v>
      </c>
      <c r="E8">
        <f>SUMIFS(data!D:D,data!B:B,A8,data!C:C,"Solar")</f>
        <v>2400</v>
      </c>
      <c r="F8">
        <f>SUMIFS(data!D:D,data!B:B,A8,data!C:C,"Wind")</f>
        <v>2900</v>
      </c>
    </row>
    <row r="11" spans="1:6" x14ac:dyDescent="0.85">
      <c r="A11" s="5" t="s">
        <v>30</v>
      </c>
    </row>
    <row r="13" spans="1:6" x14ac:dyDescent="0.85">
      <c r="A13" s="4" t="s">
        <v>0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</row>
    <row r="14" spans="1:6" x14ac:dyDescent="0.85">
      <c r="A14" t="s">
        <v>8</v>
      </c>
      <c r="B14">
        <f>SUMIFS(data!D:D,data!A:A,A14,data!B:B,2023,data!C:C,"Oil")</f>
        <v>4200</v>
      </c>
      <c r="C14">
        <f>SUMIFS(data!D:D,data!A:A,A14,data!B:B,2023,data!C:C,"Gas")</f>
        <v>3900</v>
      </c>
      <c r="D14">
        <f>SUMIFS(data!D:D,data!A:A,A14,data!B:B,2023,data!C:C,"Coal")</f>
        <v>2200</v>
      </c>
      <c r="E14">
        <f>SUMIFS(data!D:D,data!A:A,A14,data!B:B,2023,data!C:C,"Solar")</f>
        <v>1500</v>
      </c>
      <c r="F14">
        <f>SUMIFS(data!D:D,data!A:A,A14,data!B:B,2023,data!C:C,"Wind")</f>
        <v>1600</v>
      </c>
    </row>
    <row r="15" spans="1:6" x14ac:dyDescent="0.85">
      <c r="A15" t="s">
        <v>14</v>
      </c>
      <c r="B15">
        <f>SUMIFS(data!D:D,data!A:A,A15,data!B:B,2023,data!C:C,"Oil")</f>
        <v>2800</v>
      </c>
      <c r="C15">
        <f>SUMIFS(data!D:D,data!A:A,A15,data!B:B,2023,data!C:C,"Gas")</f>
        <v>2600</v>
      </c>
      <c r="D15">
        <f>SUMIFS(data!D:D,data!A:A,A15,data!B:B,2023,data!C:C,"Coal")</f>
        <v>50</v>
      </c>
      <c r="E15">
        <f>SUMIFS(data!D:D,data!A:A,A15,data!B:B,2023,data!C:C,"Solar")</f>
        <v>500</v>
      </c>
      <c r="F15">
        <f>SUMIFS(data!D:D,data!A:A,A15,data!B:B,2023,data!C:C,"Wind")</f>
        <v>1100</v>
      </c>
    </row>
    <row r="16" spans="1:6" x14ac:dyDescent="0.85">
      <c r="A16" t="s">
        <v>15</v>
      </c>
      <c r="B16">
        <f>SUMIFS(data!D:D,data!A:A,A16,data!B:B,2023,data!C:C,"Oil")</f>
        <v>3300</v>
      </c>
      <c r="C16">
        <f>SUMIFS(data!D:D,data!A:A,A16,data!B:B,2023,data!C:C,"Gas")</f>
        <v>2400</v>
      </c>
      <c r="D16">
        <f>SUMIFS(data!D:D,data!A:A,A16,data!B:B,2023,data!C:C,"Coal")</f>
        <v>300</v>
      </c>
      <c r="E16">
        <f>SUMIFS(data!D:D,data!A:A,A16,data!B:B,2023,data!C:C,"Solar")</f>
        <v>400</v>
      </c>
      <c r="F16">
        <f>SUMIFS(data!D:D,data!A:A,A16,data!B:B,2023,data!C:C,"Wind")</f>
        <v>200</v>
      </c>
    </row>
    <row r="19" spans="1:3" x14ac:dyDescent="0.85">
      <c r="A19" s="5" t="s">
        <v>31</v>
      </c>
    </row>
    <row r="21" spans="1:3" x14ac:dyDescent="0.85">
      <c r="A21" s="4" t="s">
        <v>0</v>
      </c>
      <c r="B21" s="4" t="s">
        <v>32</v>
      </c>
      <c r="C21" s="4" t="s">
        <v>33</v>
      </c>
    </row>
    <row r="22" spans="1:3" x14ac:dyDescent="0.85">
      <c r="A22" t="s">
        <v>8</v>
      </c>
      <c r="B22">
        <f>SUMIFS(data!E:E,data!A:A,A22,data!B:B,2023)</f>
        <v>1200</v>
      </c>
      <c r="C22">
        <f>SUMIFS(data!F:F,data!A:A,A22,data!B:B,2023)</f>
        <v>26600</v>
      </c>
    </row>
    <row r="23" spans="1:3" x14ac:dyDescent="0.85">
      <c r="A23" t="s">
        <v>14</v>
      </c>
      <c r="B23">
        <f>SUMIFS(data!E:E,data!A:A,A23,data!B:B,2023)</f>
        <v>910</v>
      </c>
      <c r="C23">
        <f>SUMIFS(data!F:F,data!A:A,A23,data!B:B,2023)</f>
        <v>10700</v>
      </c>
    </row>
    <row r="24" spans="1:3" x14ac:dyDescent="0.85">
      <c r="A24" t="s">
        <v>15</v>
      </c>
      <c r="B24">
        <f>SUMIFS(data!E:E,data!A:A,A24,data!B:B,2023)</f>
        <v>580</v>
      </c>
      <c r="C24">
        <f>SUMIFS(data!F:F,data!A:A,A24,data!B:B,2023)</f>
        <v>14640</v>
      </c>
    </row>
    <row r="27" spans="1:3" x14ac:dyDescent="0.85">
      <c r="A27" s="5" t="s">
        <v>34</v>
      </c>
    </row>
    <row r="29" spans="1:3" x14ac:dyDescent="0.85">
      <c r="A29" s="4" t="s">
        <v>0</v>
      </c>
      <c r="B29" s="4" t="s">
        <v>7</v>
      </c>
    </row>
    <row r="30" spans="1:3" x14ac:dyDescent="0.85">
      <c r="A30" t="s">
        <v>8</v>
      </c>
      <c r="B30">
        <f>AVERAGEIFS(data!H:H,data!A:A,A30,data!B:B,2023)</f>
        <v>66</v>
      </c>
    </row>
    <row r="31" spans="1:3" x14ac:dyDescent="0.85">
      <c r="A31" t="s">
        <v>14</v>
      </c>
      <c r="B31">
        <f>AVERAGEIFS(data!H:H,data!A:A,A31,data!B:B,2023)</f>
        <v>82</v>
      </c>
    </row>
    <row r="32" spans="1:3" x14ac:dyDescent="0.85">
      <c r="A32" t="s">
        <v>15</v>
      </c>
      <c r="B32">
        <f>AVERAGEIFS(data!H:H,data!A:A,A32,data!B:B,2023)</f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cp:lastPrinted>2026-03-19T15:26:05Z</cp:lastPrinted>
  <dcterms:created xsi:type="dcterms:W3CDTF">2026-03-19T15:25:54Z</dcterms:created>
  <dcterms:modified xsi:type="dcterms:W3CDTF">2026-03-19T18:38:20Z</dcterms:modified>
</cp:coreProperties>
</file>