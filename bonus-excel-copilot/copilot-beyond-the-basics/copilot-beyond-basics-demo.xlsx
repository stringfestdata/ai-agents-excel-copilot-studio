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Unit Economics" sheetId="2" state="visible" r:id="rId4"/>
    <sheet name="P&amp;L Variance" sheetId="3" state="visible" r:id="rId5"/>
    <sheet name="Summary" sheetId="4" state="visible" r:id="rId6"/>
    <sheet name="Raw Data" sheetId="5" state="visible" r:id="rId7"/>
    <sheet name="Prices" sheetId="6" state="visible" r:id="rId8"/>
    <sheet name="Coffee Sales" sheetId="7" state="visible" r:id="rId9"/>
    <sheet name="Dashboard" sheetId="8" state="visible" r:id="rId10"/>
    <sheet name=".Rules" sheetId="9" state="visible" r:id="rId11"/>
    <sheet name="RegionalSumm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<sst xmlns="http://schemas.openxmlformats.org/spreadsheetml/2006/main" count="545" uniqueCount="105">
  <si>
    <t xml:space="preserve">Copilot for Excel: Beyond the Basics — Demo Workbook</t>
  </si>
  <si>
    <t xml:space="preserve">One workbook, five demos. All company data is fictional.</t>
  </si>
  <si>
    <t xml:space="preserve">STEP 0: Save this file to OneDrive or SharePoint. Copilot in Excel only works on cloud-saved files.</t>
  </si>
  <si>
    <t xml:space="preserve">Demo map</t>
  </si>
  <si>
    <t xml:space="preserve">Demo</t>
  </si>
  <si>
    <t xml:space="preserve">Tab(s)</t>
  </si>
  <si>
    <t xml:space="preserve">Skill / feature</t>
  </si>
  <si>
    <t xml:space="preserve">1 · Built-in finance skill</t>
  </si>
  <si>
    <t xml:space="preserve">Unit Economics</t>
  </si>
  <si>
    <t xml:space="preserve">@unit-economics</t>
  </si>
  <si>
    <t xml:space="preserve">2 · Custom skill</t>
  </si>
  <si>
    <t xml:space="preserve">P&amp;L Variance</t>
  </si>
  <si>
    <t xml:space="preserve">@variance-commentary (SKILL.md in OneDrive)</t>
  </si>
  <si>
    <t xml:space="preserve">3 · Branded formatting</t>
  </si>
  <si>
    <t xml:space="preserve">Summary (data: Raw Data, Prices)</t>
  </si>
  <si>
    <t xml:space="preserve">@brandkit + your brand kit</t>
  </si>
  <si>
    <t xml:space="preserve">4 · Personalization vs. rules</t>
  </si>
  <si>
    <t xml:space="preserve">Coffee Sales, Dashboard, .Rules</t>
  </si>
  <si>
    <t xml:space="preserve">Personalization + .Rules worksheet</t>
  </si>
  <si>
    <t xml:space="preserve">5 · Reference files</t>
  </si>
  <si>
    <t xml:space="preserve">RegionalSummary</t>
  </si>
  <si>
    <t xml:space="preserve">Attach Regional-Sales-Context.docx in chat (live demo)</t>
  </si>
  <si>
    <t xml:space="preserve">Personalization lines for Demo 4 (Copilot pane &gt; Settings &gt; Personalization):</t>
  </si>
  <si>
    <t xml:space="preserve">    Start every analysis with a short summary of key takeaways before detailed tables.</t>
  </si>
  <si>
    <t xml:space="preserve">    Show negative numbers in red and in parentheses.</t>
  </si>
  <si>
    <t xml:space="preserve">    Label PivotTable value fields with friendly names instead of “Sum of…”.</t>
  </si>
  <si>
    <t xml:space="preserve">Results vary a little by model and over time — that is the nature of the tool. Always review the output.</t>
  </si>
  <si>
    <t xml:space="preserve">Prompts, steps, and the full walkthrough: see the Practice Guide in this bundle.</t>
  </si>
  <si>
    <t xml:space="preserve">Replay, downloads, and the archive: stringfestdata.gumroad.com/l/mxlais  |  stringfestanalytics.com</t>
  </si>
  <si>
    <t xml:space="preserve">Unit Economics — Inputs</t>
  </si>
  <si>
    <t xml:space="preserve">Subscription software business, monthly view. Select B6:C10 and run @unit-economics.</t>
  </si>
  <si>
    <t xml:space="preserve">Input</t>
  </si>
  <si>
    <t xml:space="preserve">Value</t>
  </si>
  <si>
    <t xml:space="preserve">Note</t>
  </si>
  <si>
    <t xml:space="preserve">New customers this month</t>
  </si>
  <si>
    <t xml:space="preserve">Customers acquired in the period</t>
  </si>
  <si>
    <t xml:space="preserve">Sales and marketing spend</t>
  </si>
  <si>
    <t xml:space="preserve">Total S&amp;M cost for the period</t>
  </si>
  <si>
    <t xml:space="preserve">Average revenue per customer (monthly)</t>
  </si>
  <si>
    <t xml:space="preserve">ARPU</t>
  </si>
  <si>
    <t xml:space="preserve">Gross margin</t>
  </si>
  <si>
    <t xml:space="preserve">Share of revenue left after cost to serve</t>
  </si>
  <si>
    <t xml:space="preserve">Monthly churn rate</t>
  </si>
  <si>
    <t xml:space="preserve">Share of customers lost each month</t>
  </si>
  <si>
    <t xml:space="preserve">Yellow cells are inputs you can change. Copilot will build the analysis when you run the skill.</t>
  </si>
  <si>
    <t xml:space="preserve">Monthly P&amp;L — Actual vs Budget vs Prior</t>
  </si>
  <si>
    <t xml:space="preserve">Figures in US dollars. Run @variance-commentary on this sheet.</t>
  </si>
  <si>
    <t xml:space="preserve">Line item</t>
  </si>
  <si>
    <t xml:space="preserve">Actual</t>
  </si>
  <si>
    <t xml:space="preserve">Budget</t>
  </si>
  <si>
    <t xml:space="preserve">Prior Month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</si>
  <si>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</si>
  <si>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</si>
  <si>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</si>
  <si>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</si>
  <si>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   Sales &amp; marketing</t>
  </si>
  <si>
    <t xml:space="preserve">   Research &amp; development</t>
  </si>
  <si>
    <t xml:space="preserve">   General &amp; administrative</t>
  </si>
  <si>
    <t xml:space="preserve">   Customer success</t>
  </si>
  <si>
    <t xml:space="preserve">Total operating expenses</t>
  </si>
  <si>
    <t xml:space="preserve">Operating income</t>
  </si>
  <si>
    <t xml:space="preserve">2025 Sales Summary</t>
  </si>
  <si>
    <t xml:space="preserve">Revenue by Region and Quarter</t>
  </si>
  <si>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</si>
  <si>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</si>
  <si>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</si>
  <si>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</si>
  <si>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</si>
  <si>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</si>
  <si>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Northeast</t>
  </si>
  <si>
    <t xml:space="preserve">Southeast</t>
  </si>
  <si>
    <t xml:space="preserve">Midwest</t>
  </si>
  <si>
    <t xml:space="preserve">West</t>
  </si>
  <si>
    <t xml:space="preserve">Revenue by Product</t>
  </si>
  <si>
    <t xml:space="preserve">Product</t>
  </si>
  <si>
    <t xml:space="preserve">Units</t>
  </si>
  <si>
    <t xml:space="preserve">Starter Plan</t>
  </si>
  <si>
    <t xml:space="preserve">Pro Plan</t>
  </si>
  <si>
    <t xml:space="preserve">Enterprise Plan</t>
  </si>
  <si>
    <t xml:space="preserve">Date</t>
  </si>
  <si>
    <t xml:space="preserve">Quarter</t>
  </si>
  <si>
    <t xml:space="preserve">Price</t>
  </si>
  <si>
    <t xml:space="preserve">COGS</t>
  </si>
  <si>
    <t xml:space="preserve">Single Origin Ethiopia</t>
  </si>
  <si>
    <t xml:space="preserve">Espresso Blend</t>
  </si>
  <si>
    <t xml:space="preserve">Decaf House</t>
  </si>
  <si>
    <t xml:space="preserve">Cold Brew Concentrate</t>
  </si>
  <si>
    <t xml:space="preserve">Seasonal Roast</t>
  </si>
  <si>
    <t xml:space="preserve">Dashboard</t>
  </si>
  <si>
    <t xml:space="preserve">Intentionally blank. Per the .Rules tab, Copilot places executive summaries here.</t>
  </si>
  <si>
    <t xml:space="preserve">## SCOPE</t>
  </si>
  <si>
    <t xml:space="preserve">These rules govern the coffee sales data only: the Coffee Sales tab and the Dashboard tab. They do not apply to the other demo sheets in this workbook.</t>
  </si>
  <si>
    <t xml:space="preserve">## DATA</t>
  </si>
  <si>
    <t xml:space="preserve">Sales data lives in the Excel Table named tblSales on the Coffee Sales tab. Reference it with structured references (table and column names), never by cell address.</t>
  </si>
  <si>
    <t xml:space="preserve">Never edit the Coffee Sales tab directly. Treat tblSales as read-only source data.</t>
  </si>
  <si>
    <t xml:space="preserve">## CALCULATIONS</t>
  </si>
  <si>
    <t xml:space="preserve">Gross margin = (Revenue - COGS) / Revenue, calculated at the product level.</t>
  </si>
  <si>
    <t xml:space="preserve">Round margin percentages to one decimal place.</t>
  </si>
  <si>
    <t xml:space="preserve">## OUTPUT</t>
  </si>
  <si>
    <t xml:space="preserve">Put executive summaries on the Dashboard tab.</t>
  </si>
  <si>
    <t xml:space="preserve">Rules must stay in column A, and this sheet must stay visible and named .Rules.</t>
  </si>
  <si>
    <t xml:space="preserve">Prior Year</t>
  </si>
  <si>
    <t xml:space="preserve">YoY Change</t>
  </si>
  <si>
    <t xml:space="preserve">Mountain</t>
  </si>
  <si>
    <t xml:space="preserve">Dataset for the live reference-file demo: attach Regional-Sales-Context.docx in Copilot chat, then ask for a summary against FY targets.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</si>
</sst>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;&quot;($&quot;#,##0\)"/>
    <numFmt numFmtId="167" formatCode="0.0%;\(0.0%\)"/>
    <numFmt numFmtId="168" formatCode="\$#,##0"/>
    <numFmt numFmtId="169" formatCode="mm/dd/yyyy"/>
    <numFmt numFmtId="170" formatCode="yyyy\-mm\-dd"/>
    <numFmt numFmtId="171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F333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1F2120"/>
      <name val="Arial"/>
      <family val="2"/>
      <charset val="1"/>
    </font>
    <font>
      <sz val="10"/>
      <color rgb="FF70707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1F2120"/>
      <name val="Arial"/>
      <family val="2"/>
      <charset val="1"/>
    </font>
    <font>
      <sz val="11"/>
      <color rgb="FF0000FF"/>
      <name val="Arial"/>
      <family val="2"/>
      <charset val="1"/>
    </font>
    <font>
      <i val="true"/>
      <sz val="10"/>
      <color rgb="FF707070"/>
      <name val="Arial"/>
      <family val="2"/>
      <charset val="1"/>
    </font>
    <font>
      <b val="true"/>
      <sz val="11"/>
      <color rgb="FF1F2120"/>
      <name val="Arial"/>
      <family val="2"/>
      <charset val="1"/>
    </font>
    <font>
      <b val="true"/>
      <sz val="11"/>
      <color rgb="FFCF3338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F3338"/>
      <name val="Arial"/>
      <family val="0"/>
      <charset val="1"/>
    </font>
    <font>
      <sz val="10"/>
      <color rgb="FF7070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120"/>
      <name val="Arial"/>
      <family val="0"/>
      <charset val="1"/>
    </font>
    <font>
      <b val="true"/>
      <sz val="11"/>
      <color rgb="FF1F2120"/>
      <name val="Arial"/>
      <family val="0"/>
      <charset val="1"/>
    </font>
    <font>
      <i val="true"/>
      <sz val="10"/>
      <color rgb="FF70707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F3338"/>
        <bgColor rgb="FF99336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1F2120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F333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070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Summary!$A$5:$A$8</c:f>
              <c:strCache>
                <c:ptCount val="4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Summary!$F$5:$F$8</c:f>
              <c:numCache>
                <c:formatCode>\$#,##0</c:formatCode>
                <c:ptCount val="4"/>
                <c:pt idx="0">
                  <c:v>322657</c:v>
                </c:pt>
                <c:pt idx="1">
                  <c:v>266744</c:v>
                </c:pt>
                <c:pt idx="2">
                  <c:v>248133</c:v>
                </c:pt>
                <c:pt idx="3">
                  <c:v>375158</c:v>
                </c:pt>
              </c:numCache>
            </c:numRef>
          </c:val>
        </c:ser>
        <c:gapWidth val="150"/>
        <c:overlap val="0"/>
        <c:axId val="4453907"/>
        <c:axId val="99744772"/>
      </c:barChart>
      <c:catAx>
        <c:axId val="44539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744772"/>
        <c:crosses val="autoZero"/>
        <c:auto val="1"/>
        <c:lblAlgn val="ctr"/>
        <c:lblOffset val="100"/>
        <c:noMultiLvlLbl val="0"/>
      </c:catAx>
      <c:valAx>
        <c:axId val="99744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539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14</xdr:col>
      <xdr:colOff>38160</xdr:colOff>
      <xdr:row>15</xdr:row>
      <xdr:rowOff>12600</xdr:rowOff>
    </xdr:to>
    <xdr:graphicFrame>
      <xdr:nvGraphicFramePr>
        <xdr:cNvPr id="1" name="Chart 1"/>
        <xdr:cNvGraphicFramePr/>
      </xdr:nvGraphicFramePr>
      <xdr:xfrm>
        <a:off x="6108840" y="379800"/>
        <a:ext cx="4314240" cy="238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ices" displayName="Prices" ref="A1:B4" headerRowCount="1" totalsRowCount="0" totalsRowShown="0">
  <autoFilter ref="A1:B4"/>
  <tableColumns count="2">
    <tableColumn id="1" name="Product"/>
    <tableColumn id="2" name="Price"/>
  </tableColumns>
</table>
</file>

<file path=xl/tables/table2.xml><?xml version="1.0" encoding="utf-8"?>
<table xmlns="http://schemas.openxmlformats.org/spreadsheetml/2006/main" id="2" name="Sales" displayName="Sales" ref="A1:F145" headerRowCount="1" totalsRowCount="0" totalsRowShown="0">
  <autoFilter ref="A1:F145"/>
  <tableColumns count="6">
    <tableColumn id="1" name="Date"/>
    <tableColumn id="2" name="Region"/>
    <tableColumn id="3" name="Product"/>
    <tableColumn id="4" name="Units"/>
    <tableColumn id="5" name="Revenue"/>
    <tableColumn id="6" name="Quarter"/>
  </tableColumns>
</table>
</file>

<file path=xl/tables/table3.xml><?xml version="1.0" encoding="utf-8"?>
<table xmlns="http://schemas.openxmlformats.org/spreadsheetml/2006/main" id="3" name="tblSales" displayName="tblSales" ref="A1:F68" headerRowCount="1" totalsRowCount="0" totalsRowShown="0">
  <autoFilter ref="A1:F68"/>
  <tableColumns count="6">
    <tableColumn id="1" name="Date"/>
    <tableColumn id="2" name="Region"/>
    <tableColumn id="3" name="Product"/>
    <tableColumn id="4" name="Units"/>
    <tableColumn id="5" name="Revenue"/>
    <tableColumn id="6" name="COG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6"/>
    <col collapsed="false" customWidth="true" hidden="false" outlineLevel="0" max="3" min="3" style="1" width="5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4" customFormat="false" ht="15" hidden="false" customHeight="true" outlineLevel="0" collapsed="false">
      <c r="A4" s="3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4" t="s">
        <v>4</v>
      </c>
      <c r="B7" s="4" t="s">
        <v>5</v>
      </c>
      <c r="C7" s="4" t="s">
        <v>6</v>
      </c>
    </row>
    <row r="8" customFormat="false" ht="15" hidden="false" customHeight="true" outlineLevel="0" collapsed="false">
      <c r="A8" s="1" t="s">
        <v>7</v>
      </c>
      <c r="B8" s="1" t="s">
        <v>8</v>
      </c>
      <c r="C8" s="1" t="s">
        <v>9</v>
      </c>
    </row>
    <row r="9" customFormat="false" ht="15" hidden="false" customHeight="true" outlineLevel="0" collapsed="false">
      <c r="A9" s="1" t="s">
        <v>10</v>
      </c>
      <c r="B9" s="1" t="s">
        <v>11</v>
      </c>
      <c r="C9" s="1" t="s">
        <v>12</v>
      </c>
    </row>
    <row r="10" customFormat="false" ht="15" hidden="false" customHeight="true" outlineLevel="0" collapsed="false">
      <c r="A10" s="1" t="s">
        <v>13</v>
      </c>
      <c r="B10" s="1" t="s">
        <v>14</v>
      </c>
      <c r="C10" s="1" t="s">
        <v>15</v>
      </c>
    </row>
    <row r="11" customFormat="false" ht="15" hidden="false" customHeight="true" outlineLevel="0" collapsed="false">
      <c r="A11" s="1" t="s">
        <v>16</v>
      </c>
      <c r="B11" s="1" t="s">
        <v>17</v>
      </c>
      <c r="C11" s="1" t="s">
        <v>18</v>
      </c>
    </row>
    <row r="12" customFormat="false" ht="15" hidden="false" customHeight="true" outlineLevel="0" collapsed="false">
      <c r="A12" s="1" t="s">
        <v>19</v>
      </c>
      <c r="B12" s="1" t="s">
        <v>20</v>
      </c>
      <c r="C12" s="1" t="s">
        <v>21</v>
      </c>
    </row>
    <row r="14" customFormat="false" ht="15" hidden="false" customHeight="true" outlineLevel="0" collapsed="false">
      <c r="A14" s="3" t="s">
        <v>22</v>
      </c>
    </row>
    <row r="15" customFormat="false" ht="15" hidden="false" customHeight="true" outlineLevel="0" collapsed="false">
      <c r="A15" s="1" t="s">
        <v>23</v>
      </c>
    </row>
    <row r="16" customFormat="false" ht="15" hidden="false" customHeight="true" outlineLevel="0" collapsed="false">
      <c r="A16" s="1" t="s">
        <v>24</v>
      </c>
    </row>
    <row r="17" customFormat="false" ht="15" hidden="false" customHeight="true" outlineLevel="0" collapsed="false">
      <c r="A17" s="1" t="s">
        <v>25</v>
      </c>
    </row>
    <row r="19" customFormat="false" ht="15" hidden="false" customHeight="true" outlineLevel="0" collapsed="false">
      <c r="A19" s="1" t="s">
        <v>26</v>
      </c>
    </row>
    <row r="21" customFormat="false" ht="15" hidden="false" customHeight="true" outlineLevel="0" collapsed="false">
      <c r="A21" s="1" t="s">
        <v>27</v>
      </c>
    </row>
    <row r="22" customFormat="false" ht="15" hidden="false" customHeight="true" outlineLevel="0" collapsed="false">
      <c r="A22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44"/>
  </cols>
  <sheetData>
    <row r="2" customFormat="false" ht="20.25" hidden="false" customHeight="true" outlineLevel="0" collapsed="false">
      <c r="B2" s="5" t="s">
        <v>29</v>
      </c>
    </row>
    <row r="3" customFormat="false" ht="15" hidden="false" customHeight="true" outlineLevel="0" collapsed="false">
      <c r="B3" s="6" t="s">
        <v>30</v>
      </c>
    </row>
    <row r="5" customFormat="false" ht="15" hidden="false" customHeight="true" outlineLevel="0" collapsed="false">
      <c r="B5" s="7" t="s">
        <v>31</v>
      </c>
      <c r="C5" s="8" t="s">
        <v>32</v>
      </c>
      <c r="D5" s="7" t="s">
        <v>33</v>
      </c>
    </row>
    <row r="6" customFormat="false" ht="15" hidden="false" customHeight="true" outlineLevel="0" collapsed="false">
      <c r="B6" s="9" t="s">
        <v>34</v>
      </c>
      <c r="C6" s="10" t="n">
        <v>500</v>
      </c>
      <c r="D6" s="6" t="s">
        <v>35</v>
      </c>
    </row>
    <row r="7" customFormat="false" ht="15" hidden="false" customHeight="true" outlineLevel="0" collapsed="false">
      <c r="B7" s="9" t="s">
        <v>36</v>
      </c>
      <c r="C7" s="11" t="n">
        <v>150000</v>
      </c>
      <c r="D7" s="6" t="s">
        <v>37</v>
      </c>
    </row>
    <row r="8" customFormat="false" ht="15" hidden="false" customHeight="true" outlineLevel="0" collapsed="false">
      <c r="B8" s="9" t="s">
        <v>38</v>
      </c>
      <c r="C8" s="11" t="n">
        <v>80</v>
      </c>
      <c r="D8" s="6" t="s">
        <v>39</v>
      </c>
    </row>
    <row r="9" customFormat="false" ht="15" hidden="false" customHeight="true" outlineLevel="0" collapsed="false">
      <c r="B9" s="9" t="s">
        <v>40</v>
      </c>
      <c r="C9" s="12" t="n">
        <v>0.75</v>
      </c>
      <c r="D9" s="6" t="s">
        <v>41</v>
      </c>
    </row>
    <row r="10" customFormat="false" ht="15" hidden="false" customHeight="true" outlineLevel="0" collapsed="false">
      <c r="B10" s="9" t="s">
        <v>42</v>
      </c>
      <c r="C10" s="12" t="n">
        <v>0.04</v>
      </c>
      <c r="D10" s="6" t="s">
        <v>43</v>
      </c>
    </row>
    <row r="12" customFormat="false" ht="15" hidden="false" customHeight="true" outlineLevel="0" collapsed="false">
      <c r="B12" s="1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6"/>
  </cols>
  <sheetData>
    <row r="2" customFormat="false" ht="20.25" hidden="false" customHeight="true" outlineLevel="0" collapsed="false">
      <c r="B2" s="5" t="s">
        <v>45</v>
      </c>
    </row>
    <row r="3" customFormat="false" ht="15" hidden="false" customHeight="true" outlineLevel="0" collapsed="false">
      <c r="B3" s="6" t="s">
        <v>46</v>
      </c>
    </row>
    <row r="5" customFormat="false" ht="15" hidden="false" customHeight="true" outlineLevel="0" collapsed="false">
      <c r="B5" s="7" t="s">
        <v>47</v>
      </c>
      <c r="C5" s="8" t="s">
        <v>48</v>
      </c>
      <c r="D5" s="8" t="s">
        <v>49</v>
      </c>
      <c r="E5" s="8" t="s">
        <v>50</v>
      </c>
    </row>
    <row r="6" customFormat="false" ht="15" hidden="false" customHeight="true" outlineLevel="0" collapsed="false">
      <c r="B6" s="9" t="s">
        <v>51</v>
      </c>
      <c r="C6" s="14" t="n">
        <v>1240000</v>
      </c>
      <c r="D6" s="14" t="n">
        <v>1200000</v>
      </c>
      <c r="E6" s="14" t="n">
        <v>1180000</v>
      </c>
    </row>
    <row r="7" customFormat="false" ht="15" hidden="false" customHeight="true" outlineLevel="0" collapsed="false">
      <c r="B7" s="9" t="s">
        <v>52</v>
      </c>
      <c r="C7" s="14" t="n">
        <v>306000</v>
      </c>
      <c r="D7" s="14" t="n">
        <v>300000</v>
      </c>
      <c r="E7" s="14" t="n">
        <v>295000</v>
      </c>
    </row>
    <row r="8" customFormat="false" ht="15" hidden="false" customHeight="true" outlineLevel="0" collapsed="false">
      <c r="B8" s="15" t="s">
        <v>53</v>
      </c>
      <c r="C8" s="16" t="n">
        <f aca="false">C6-C7</f>
        <v>934000</v>
      </c>
      <c r="D8" s="16" t="n">
        <f aca="false">D6-D7</f>
        <v>900000</v>
      </c>
      <c r="E8" s="16" t="n">
        <f aca="false">E6-E7</f>
        <v>885000</v>
      </c>
    </row>
    <row r="10" customFormat="false" ht="15" hidden="false" customHeight="true" outlineLevel="0" collapsed="false">
      <c r="B10" s="17" t="s">
        <v>54</v>
      </c>
    </row>
    <row r="11" customFormat="false" ht="15" hidden="false" customHeight="true" outlineLevel="0" collapsed="false">
      <c r="B11" s="9" t="s">
        <v>55</v>
      </c>
      <c r="C11" s="14" t="n">
        <v>280000</v>
      </c>
      <c r="D11" s="14" t="n">
        <v>240000</v>
      </c>
      <c r="E11" s="14" t="n">
        <v>250000</v>
      </c>
    </row>
    <row r="12" customFormat="false" ht="15" hidden="false" customHeight="true" outlineLevel="0" collapsed="false">
      <c r="B12" s="9" t="s">
        <v>56</v>
      </c>
      <c r="C12" s="14" t="n">
        <v>210000</v>
      </c>
      <c r="D12" s="14" t="n">
        <v>205000</v>
      </c>
      <c r="E12" s="14" t="n">
        <v>200000</v>
      </c>
    </row>
    <row r="13" customFormat="false" ht="15" hidden="false" customHeight="true" outlineLevel="0" collapsed="false">
      <c r="B13" s="9" t="s">
        <v>57</v>
      </c>
      <c r="C13" s="14" t="n">
        <v>165000</v>
      </c>
      <c r="D13" s="14" t="n">
        <v>150000</v>
      </c>
      <c r="E13" s="14" t="n">
        <v>152000</v>
      </c>
    </row>
    <row r="14" customFormat="false" ht="15" hidden="false" customHeight="true" outlineLevel="0" collapsed="false">
      <c r="B14" s="9" t="s">
        <v>58</v>
      </c>
      <c r="C14" s="14" t="n">
        <v>95000</v>
      </c>
      <c r="D14" s="14" t="n">
        <v>100000</v>
      </c>
      <c r="E14" s="14" t="n">
        <v>98000</v>
      </c>
    </row>
    <row r="15" customFormat="false" ht="15" hidden="false" customHeight="true" outlineLevel="0" collapsed="false">
      <c r="B15" s="15" t="s">
        <v>59</v>
      </c>
      <c r="C15" s="16" t="n">
        <f aca="false">SUM(C11:C14)</f>
        <v>750000</v>
      </c>
      <c r="D15" s="16" t="n">
        <f aca="false">SUM(D11:D14)</f>
        <v>695000</v>
      </c>
      <c r="E15" s="16" t="n">
        <f aca="false">SUM(E11:E14)</f>
        <v>700000</v>
      </c>
    </row>
    <row r="17" customFormat="false" ht="15" hidden="false" customHeight="true" outlineLevel="0" collapsed="false">
      <c r="B17" s="15" t="s">
        <v>60</v>
      </c>
      <c r="C17" s="16" t="n">
        <f aca="false">C8-C15</f>
        <v>184000</v>
      </c>
      <c r="D17" s="16" t="n">
        <f aca="false">D8-D15</f>
        <v>205000</v>
      </c>
      <c r="E17" s="16" t="n">
        <f aca="false">E8-E15</f>
        <v>185000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18" t="s">
        <v>61</v>
      </c>
    </row>
    <row r="3" customFormat="false" ht="14.25" hidden="false" customHeight="true" outlineLevel="0" collapsed="false">
      <c r="A3" s="19" t="s">
        <v>62</v>
      </c>
    </row>
    <row r="4" customFormat="false" ht="14.25" hidden="false" customHeight="true" outlineLevel="0" collapsed="false">
      <c r="A4" s="19" t="s">
        <v>63</v>
      </c>
      <c r="B4" s="19" t="s">
        <v>64</v>
      </c>
      <c r="C4" s="19" t="s">
        <v>65</v>
      </c>
      <c r="D4" s="19" t="s">
        <v>66</v>
      </c>
      <c r="E4" s="19" t="s">
        <v>67</v>
      </c>
      <c r="F4" s="19" t="s">
        <v>68</v>
      </c>
    </row>
    <row r="5" customFormat="false" ht="14.25" hidden="false" customHeight="true" outlineLevel="0" collapsed="false">
      <c r="A5" s="20" t="s">
        <v>69</v>
      </c>
      <c r="B5" s="21" t="n">
        <f aca="false">SUMIFS(Sales[Revenue],Sales[Region],$A5,Sales[Quarter],B$4)</f>
        <v>69538</v>
      </c>
      <c r="C5" s="21" t="n">
        <f aca="false">SUMIFS(Sales[Revenue],Sales[Region],$A5,Sales[Quarter],C$4)</f>
        <v>74886</v>
      </c>
      <c r="D5" s="21" t="n">
        <f aca="false">SUMIFS(Sales[Revenue],Sales[Region],$A5,Sales[Quarter],D$4)</f>
        <v>87389</v>
      </c>
      <c r="E5" s="21" t="n">
        <f aca="false">SUMIFS(Sales[Revenue],Sales[Region],$A5,Sales[Quarter],E$4)</f>
        <v>90844</v>
      </c>
      <c r="F5" s="21" t="n">
        <f aca="false">SUM(B5:E5)</f>
        <v>322657</v>
      </c>
    </row>
    <row r="6" customFormat="false" ht="14.25" hidden="false" customHeight="true" outlineLevel="0" collapsed="false">
      <c r="A6" s="20" t="s">
        <v>70</v>
      </c>
      <c r="B6" s="21" t="n">
        <f aca="false">SUMIFS(Sales[Revenue],Sales[Region],$A6,Sales[Quarter],B$4)</f>
        <v>56042</v>
      </c>
      <c r="C6" s="21" t="n">
        <f aca="false">SUMIFS(Sales[Revenue],Sales[Region],$A6,Sales[Quarter],C$4)</f>
        <v>62775</v>
      </c>
      <c r="D6" s="21" t="n">
        <f aca="false">SUMIFS(Sales[Revenue],Sales[Region],$A6,Sales[Quarter],D$4)</f>
        <v>71166</v>
      </c>
      <c r="E6" s="21" t="n">
        <f aca="false">SUMIFS(Sales[Revenue],Sales[Region],$A6,Sales[Quarter],E$4)</f>
        <v>76761</v>
      </c>
      <c r="F6" s="21" t="n">
        <f aca="false">SUM(B6:E6)</f>
        <v>266744</v>
      </c>
    </row>
    <row r="7" customFormat="false" ht="14.25" hidden="false" customHeight="true" outlineLevel="0" collapsed="false">
      <c r="A7" s="20" t="s">
        <v>71</v>
      </c>
      <c r="B7" s="21" t="n">
        <f aca="false">SUMIFS(Sales[Revenue],Sales[Region],$A7,Sales[Quarter],B$4)</f>
        <v>49483</v>
      </c>
      <c r="C7" s="21" t="n">
        <f aca="false">SUMIFS(Sales[Revenue],Sales[Region],$A7,Sales[Quarter],C$4)</f>
        <v>59976</v>
      </c>
      <c r="D7" s="21" t="n">
        <f aca="false">SUMIFS(Sales[Revenue],Sales[Region],$A7,Sales[Quarter],D$4)</f>
        <v>65914</v>
      </c>
      <c r="E7" s="21" t="n">
        <f aca="false">SUMIFS(Sales[Revenue],Sales[Region],$A7,Sales[Quarter],E$4)</f>
        <v>72760</v>
      </c>
      <c r="F7" s="21" t="n">
        <f aca="false">SUM(B7:E7)</f>
        <v>248133</v>
      </c>
    </row>
    <row r="8" customFormat="false" ht="14.25" hidden="false" customHeight="true" outlineLevel="0" collapsed="false">
      <c r="A8" s="20" t="s">
        <v>72</v>
      </c>
      <c r="B8" s="21" t="n">
        <f aca="false">SUMIFS(Sales[Revenue],Sales[Region],$A8,Sales[Quarter],B$4)</f>
        <v>78042</v>
      </c>
      <c r="C8" s="21" t="n">
        <f aca="false">SUMIFS(Sales[Revenue],Sales[Region],$A8,Sales[Quarter],C$4)</f>
        <v>94778</v>
      </c>
      <c r="D8" s="21" t="n">
        <f aca="false">SUMIFS(Sales[Revenue],Sales[Region],$A8,Sales[Quarter],D$4)</f>
        <v>96288</v>
      </c>
      <c r="E8" s="21" t="n">
        <f aca="false">SUMIFS(Sales[Revenue],Sales[Region],$A8,Sales[Quarter],E$4)</f>
        <v>106050</v>
      </c>
      <c r="F8" s="21" t="n">
        <f aca="false">SUM(B8:E8)</f>
        <v>375158</v>
      </c>
    </row>
    <row r="9" customFormat="false" ht="14.25" hidden="false" customHeight="true" outlineLevel="0" collapsed="false">
      <c r="A9" s="19" t="s">
        <v>68</v>
      </c>
      <c r="B9" s="22" t="n">
        <f aca="false">SUM(B5:B8)</f>
        <v>253105</v>
      </c>
      <c r="C9" s="22" t="n">
        <f aca="false">SUM(C5:C8)</f>
        <v>292415</v>
      </c>
      <c r="D9" s="22" t="n">
        <f aca="false">SUM(D5:D8)</f>
        <v>320757</v>
      </c>
      <c r="E9" s="22" t="n">
        <f aca="false">SUM(E5:E8)</f>
        <v>346415</v>
      </c>
      <c r="F9" s="22" t="n">
        <f aca="false">SUM(F5:F8)</f>
        <v>1212692</v>
      </c>
    </row>
    <row r="11" customFormat="false" ht="14.25" hidden="false" customHeight="true" outlineLevel="0" collapsed="false">
      <c r="A11" s="19" t="s">
        <v>73</v>
      </c>
    </row>
    <row r="12" customFormat="false" ht="14.25" hidden="false" customHeight="true" outlineLevel="0" collapsed="false">
      <c r="A12" s="19" t="s">
        <v>74</v>
      </c>
      <c r="B12" s="19" t="s">
        <v>75</v>
      </c>
      <c r="C12" s="19" t="s">
        <v>51</v>
      </c>
    </row>
    <row r="13" customFormat="false" ht="14.25" hidden="false" customHeight="true" outlineLevel="0" collapsed="false">
      <c r="A13" s="20" t="s">
        <v>76</v>
      </c>
      <c r="B13" s="23" t="n">
        <f aca="false">SUMIFS(Sales[Units],Sales[Product],$A13)</f>
        <v>7523</v>
      </c>
      <c r="C13" s="21" t="n">
        <f aca="false">SUMIFS(Sales[Revenue],Sales[Product],$A13)</f>
        <v>368627</v>
      </c>
    </row>
    <row r="14" customFormat="false" ht="14.25" hidden="false" customHeight="true" outlineLevel="0" collapsed="false">
      <c r="A14" s="20" t="s">
        <v>77</v>
      </c>
      <c r="B14" s="23" t="n">
        <f aca="false">SUMIFS(Sales[Units],Sales[Product],$A14)</f>
        <v>3679</v>
      </c>
      <c r="C14" s="21" t="n">
        <f aca="false">SUMIFS(Sales[Revenue],Sales[Product],$A14)</f>
        <v>474591</v>
      </c>
    </row>
    <row r="15" customFormat="false" ht="14.25" hidden="false" customHeight="true" outlineLevel="0" collapsed="false">
      <c r="A15" s="20" t="s">
        <v>78</v>
      </c>
      <c r="B15" s="23" t="n">
        <f aca="false">SUMIFS(Sales[Units],Sales[Product],$A15)</f>
        <v>926</v>
      </c>
      <c r="C15" s="21" t="n">
        <f aca="false">SUMIFS(Sales[Revenue],Sales[Product],$A15)</f>
        <v>369474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9"/>
  </cols>
  <sheetData>
    <row r="1" customFormat="false" ht="14.25" hidden="false" customHeight="true" outlineLevel="0" collapsed="false">
      <c r="A1" s="19" t="s">
        <v>79</v>
      </c>
      <c r="B1" s="19" t="s">
        <v>63</v>
      </c>
      <c r="C1" s="19" t="s">
        <v>74</v>
      </c>
      <c r="D1" s="19" t="s">
        <v>75</v>
      </c>
      <c r="E1" s="19" t="s">
        <v>51</v>
      </c>
      <c r="F1" s="19" t="s">
        <v>80</v>
      </c>
    </row>
    <row r="2" customFormat="false" ht="14.25" hidden="false" customHeight="true" outlineLevel="0" collapsed="false">
      <c r="A2" s="24" t="n">
        <v>45672</v>
      </c>
      <c r="B2" s="20" t="s">
        <v>69</v>
      </c>
      <c r="C2" s="20" t="s">
        <v>76</v>
      </c>
      <c r="D2" s="20" t="n">
        <v>134</v>
      </c>
      <c r="E2" s="21" t="n">
        <f aca="false">Sales[[#This Row],[Units]]*_xlfn.XLOOKUP(Sales[[#This Row],[Product]],Prices[Product],Prices[Price])</f>
        <v>6566</v>
      </c>
      <c r="F2" s="20" t="str">
        <f aca="false">"Q"&amp;ROUNDUP(MONTH(Sales[[#This Row],[Date]])/3,0)</f>
        <v>Q1</v>
      </c>
    </row>
    <row r="3" customFormat="false" ht="14.25" hidden="false" customHeight="true" outlineLevel="0" collapsed="false">
      <c r="A3" s="24" t="n">
        <v>45672</v>
      </c>
      <c r="B3" s="20" t="s">
        <v>69</v>
      </c>
      <c r="C3" s="20" t="s">
        <v>77</v>
      </c>
      <c r="D3" s="20" t="n">
        <v>67</v>
      </c>
      <c r="E3" s="21" t="n">
        <f aca="false">Sales[[#This Row],[Units]]*_xlfn.XLOOKUP(Sales[[#This Row],[Product]],Prices[Product],Prices[Price])</f>
        <v>8643</v>
      </c>
      <c r="F3" s="20" t="str">
        <f aca="false">"Q"&amp;ROUNDUP(MONTH(Sales[[#This Row],[Date]])/3,0)</f>
        <v>Q1</v>
      </c>
    </row>
    <row r="4" customFormat="false" ht="14.25" hidden="false" customHeight="true" outlineLevel="0" collapsed="false">
      <c r="A4" s="24" t="n">
        <v>45672</v>
      </c>
      <c r="B4" s="20" t="s">
        <v>69</v>
      </c>
      <c r="C4" s="20" t="s">
        <v>78</v>
      </c>
      <c r="D4" s="20" t="n">
        <v>16</v>
      </c>
      <c r="E4" s="21" t="n">
        <f aca="false">Sales[[#This Row],[Units]]*_xlfn.XLOOKUP(Sales[[#This Row],[Product]],Prices[Product],Prices[Price])</f>
        <v>6384</v>
      </c>
      <c r="F4" s="20" t="str">
        <f aca="false">"Q"&amp;ROUNDUP(MONTH(Sales[[#This Row],[Date]])/3,0)</f>
        <v>Q1</v>
      </c>
    </row>
    <row r="5" customFormat="false" ht="14.25" hidden="false" customHeight="true" outlineLevel="0" collapsed="false">
      <c r="A5" s="24" t="n">
        <v>45672</v>
      </c>
      <c r="B5" s="20" t="s">
        <v>70</v>
      </c>
      <c r="C5" s="20" t="s">
        <v>76</v>
      </c>
      <c r="D5" s="20" t="n">
        <v>124</v>
      </c>
      <c r="E5" s="21" t="n">
        <f aca="false">Sales[[#This Row],[Units]]*_xlfn.XLOOKUP(Sales[[#This Row],[Product]],Prices[Product],Prices[Price])</f>
        <v>6076</v>
      </c>
      <c r="F5" s="20" t="str">
        <f aca="false">"Q"&amp;ROUNDUP(MONTH(Sales[[#This Row],[Date]])/3,0)</f>
        <v>Q1</v>
      </c>
    </row>
    <row r="6" customFormat="false" ht="14.25" hidden="false" customHeight="true" outlineLevel="0" collapsed="false">
      <c r="A6" s="24" t="n">
        <v>45672</v>
      </c>
      <c r="B6" s="20" t="s">
        <v>70</v>
      </c>
      <c r="C6" s="20" t="s">
        <v>77</v>
      </c>
      <c r="D6" s="20" t="n">
        <v>55</v>
      </c>
      <c r="E6" s="21" t="n">
        <f aca="false">Sales[[#This Row],[Units]]*_xlfn.XLOOKUP(Sales[[#This Row],[Product]],Prices[Product],Prices[Price])</f>
        <v>7095</v>
      </c>
      <c r="F6" s="20" t="str">
        <f aca="false">"Q"&amp;ROUNDUP(MONTH(Sales[[#This Row],[Date]])/3,0)</f>
        <v>Q1</v>
      </c>
    </row>
    <row r="7" customFormat="false" ht="14.25" hidden="false" customHeight="true" outlineLevel="0" collapsed="false">
      <c r="A7" s="24" t="n">
        <v>45672</v>
      </c>
      <c r="B7" s="20" t="s">
        <v>70</v>
      </c>
      <c r="C7" s="20" t="s">
        <v>78</v>
      </c>
      <c r="D7" s="20" t="n">
        <v>10</v>
      </c>
      <c r="E7" s="21" t="n">
        <f aca="false">Sales[[#This Row],[Units]]*_xlfn.XLOOKUP(Sales[[#This Row],[Product]],Prices[Product],Prices[Price])</f>
        <v>3990</v>
      </c>
      <c r="F7" s="20" t="str">
        <f aca="false">"Q"&amp;ROUNDUP(MONTH(Sales[[#This Row],[Date]])/3,0)</f>
        <v>Q1</v>
      </c>
    </row>
    <row r="8" customFormat="false" ht="14.25" hidden="false" customHeight="true" outlineLevel="0" collapsed="false">
      <c r="A8" s="24" t="n">
        <v>45672</v>
      </c>
      <c r="B8" s="20" t="s">
        <v>71</v>
      </c>
      <c r="C8" s="20" t="s">
        <v>76</v>
      </c>
      <c r="D8" s="20" t="n">
        <v>112</v>
      </c>
      <c r="E8" s="21" t="n">
        <f aca="false">Sales[[#This Row],[Units]]*_xlfn.XLOOKUP(Sales[[#This Row],[Product]],Prices[Product],Prices[Price])</f>
        <v>5488</v>
      </c>
      <c r="F8" s="20" t="str">
        <f aca="false">"Q"&amp;ROUNDUP(MONTH(Sales[[#This Row],[Date]])/3,0)</f>
        <v>Q1</v>
      </c>
    </row>
    <row r="9" customFormat="false" ht="14.25" hidden="false" customHeight="true" outlineLevel="0" collapsed="false">
      <c r="A9" s="24" t="n">
        <v>45672</v>
      </c>
      <c r="B9" s="20" t="s">
        <v>71</v>
      </c>
      <c r="C9" s="20" t="s">
        <v>77</v>
      </c>
      <c r="D9" s="20" t="n">
        <v>50</v>
      </c>
      <c r="E9" s="21" t="n">
        <f aca="false">Sales[[#This Row],[Units]]*_xlfn.XLOOKUP(Sales[[#This Row],[Product]],Prices[Product],Prices[Price])</f>
        <v>6450</v>
      </c>
      <c r="F9" s="20" t="str">
        <f aca="false">"Q"&amp;ROUNDUP(MONTH(Sales[[#This Row],[Date]])/3,0)</f>
        <v>Q1</v>
      </c>
    </row>
    <row r="10" customFormat="false" ht="14.25" hidden="false" customHeight="true" outlineLevel="0" collapsed="false">
      <c r="A10" s="24" t="n">
        <v>45672</v>
      </c>
      <c r="B10" s="20" t="s">
        <v>71</v>
      </c>
      <c r="C10" s="20" t="s">
        <v>78</v>
      </c>
      <c r="D10" s="20" t="n">
        <v>12</v>
      </c>
      <c r="E10" s="21" t="n">
        <f aca="false">Sales[[#This Row],[Units]]*_xlfn.XLOOKUP(Sales[[#This Row],[Product]],Prices[Product],Prices[Price])</f>
        <v>4788</v>
      </c>
      <c r="F10" s="20" t="str">
        <f aca="false">"Q"&amp;ROUNDUP(MONTH(Sales[[#This Row],[Date]])/3,0)</f>
        <v>Q1</v>
      </c>
    </row>
    <row r="11" customFormat="false" ht="14.25" hidden="false" customHeight="true" outlineLevel="0" collapsed="false">
      <c r="A11" s="24" t="n">
        <v>45672</v>
      </c>
      <c r="B11" s="20" t="s">
        <v>72</v>
      </c>
      <c r="C11" s="20" t="s">
        <v>76</v>
      </c>
      <c r="D11" s="20" t="n">
        <v>158</v>
      </c>
      <c r="E11" s="21" t="n">
        <f aca="false">Sales[[#This Row],[Units]]*_xlfn.XLOOKUP(Sales[[#This Row],[Product]],Prices[Product],Prices[Price])</f>
        <v>7742</v>
      </c>
      <c r="F11" s="20" t="str">
        <f aca="false">"Q"&amp;ROUNDUP(MONTH(Sales[[#This Row],[Date]])/3,0)</f>
        <v>Q1</v>
      </c>
    </row>
    <row r="12" customFormat="false" ht="14.25" hidden="false" customHeight="true" outlineLevel="0" collapsed="false">
      <c r="A12" s="24" t="n">
        <v>45672</v>
      </c>
      <c r="B12" s="20" t="s">
        <v>72</v>
      </c>
      <c r="C12" s="20" t="s">
        <v>77</v>
      </c>
      <c r="D12" s="20" t="n">
        <v>80</v>
      </c>
      <c r="E12" s="21" t="n">
        <f aca="false">Sales[[#This Row],[Units]]*_xlfn.XLOOKUP(Sales[[#This Row],[Product]],Prices[Product],Prices[Price])</f>
        <v>10320</v>
      </c>
      <c r="F12" s="20" t="str">
        <f aca="false">"Q"&amp;ROUNDUP(MONTH(Sales[[#This Row],[Date]])/3,0)</f>
        <v>Q1</v>
      </c>
    </row>
    <row r="13" customFormat="false" ht="14.25" hidden="false" customHeight="true" outlineLevel="0" collapsed="false">
      <c r="A13" s="24" t="n">
        <v>45672</v>
      </c>
      <c r="B13" s="20" t="s">
        <v>72</v>
      </c>
      <c r="C13" s="20" t="s">
        <v>78</v>
      </c>
      <c r="D13" s="20" t="n">
        <v>22</v>
      </c>
      <c r="E13" s="21" t="n">
        <f aca="false">Sales[[#This Row],[Units]]*_xlfn.XLOOKUP(Sales[[#This Row],[Product]],Prices[Product],Prices[Price])</f>
        <v>8778</v>
      </c>
      <c r="F13" s="20" t="str">
        <f aca="false">"Q"&amp;ROUNDUP(MONTH(Sales[[#This Row],[Date]])/3,0)</f>
        <v>Q1</v>
      </c>
    </row>
    <row r="14" customFormat="false" ht="14.25" hidden="false" customHeight="true" outlineLevel="0" collapsed="false">
      <c r="A14" s="24" t="n">
        <v>45703</v>
      </c>
      <c r="B14" s="20" t="s">
        <v>69</v>
      </c>
      <c r="C14" s="20" t="s">
        <v>76</v>
      </c>
      <c r="D14" s="20" t="n">
        <v>154</v>
      </c>
      <c r="E14" s="21" t="n">
        <f aca="false">Sales[[#This Row],[Units]]*_xlfn.XLOOKUP(Sales[[#This Row],[Product]],Prices[Product],Prices[Price])</f>
        <v>7546</v>
      </c>
      <c r="F14" s="20" t="str">
        <f aca="false">"Q"&amp;ROUNDUP(MONTH(Sales[[#This Row],[Date]])/3,0)</f>
        <v>Q1</v>
      </c>
    </row>
    <row r="15" customFormat="false" ht="14.25" hidden="false" customHeight="true" outlineLevel="0" collapsed="false">
      <c r="A15" s="24" t="n">
        <v>45703</v>
      </c>
      <c r="B15" s="20" t="s">
        <v>69</v>
      </c>
      <c r="C15" s="20" t="s">
        <v>77</v>
      </c>
      <c r="D15" s="20" t="n">
        <v>72</v>
      </c>
      <c r="E15" s="21" t="n">
        <f aca="false">Sales[[#This Row],[Units]]*_xlfn.XLOOKUP(Sales[[#This Row],[Product]],Prices[Product],Prices[Price])</f>
        <v>9288</v>
      </c>
      <c r="F15" s="20" t="str">
        <f aca="false">"Q"&amp;ROUNDUP(MONTH(Sales[[#This Row],[Date]])/3,0)</f>
        <v>Q1</v>
      </c>
    </row>
    <row r="16" customFormat="false" ht="14.25" hidden="false" customHeight="true" outlineLevel="0" collapsed="false">
      <c r="A16" s="24" t="n">
        <v>45703</v>
      </c>
      <c r="B16" s="20" t="s">
        <v>69</v>
      </c>
      <c r="C16" s="20" t="s">
        <v>78</v>
      </c>
      <c r="D16" s="20" t="n">
        <v>16</v>
      </c>
      <c r="E16" s="21" t="n">
        <f aca="false">Sales[[#This Row],[Units]]*_xlfn.XLOOKUP(Sales[[#This Row],[Product]],Prices[Product],Prices[Price])</f>
        <v>6384</v>
      </c>
      <c r="F16" s="20" t="str">
        <f aca="false">"Q"&amp;ROUNDUP(MONTH(Sales[[#This Row],[Date]])/3,0)</f>
        <v>Q1</v>
      </c>
    </row>
    <row r="17" customFormat="false" ht="14.25" hidden="false" customHeight="true" outlineLevel="0" collapsed="false">
      <c r="A17" s="24" t="n">
        <v>45703</v>
      </c>
      <c r="B17" s="20" t="s">
        <v>70</v>
      </c>
      <c r="C17" s="20" t="s">
        <v>76</v>
      </c>
      <c r="D17" s="20" t="n">
        <v>98</v>
      </c>
      <c r="E17" s="21" t="n">
        <f aca="false">Sales[[#This Row],[Units]]*_xlfn.XLOOKUP(Sales[[#This Row],[Product]],Prices[Product],Prices[Price])</f>
        <v>4802</v>
      </c>
      <c r="F17" s="20" t="str">
        <f aca="false">"Q"&amp;ROUNDUP(MONTH(Sales[[#This Row],[Date]])/3,0)</f>
        <v>Q1</v>
      </c>
    </row>
    <row r="18" customFormat="false" ht="14.25" hidden="false" customHeight="true" outlineLevel="0" collapsed="false">
      <c r="A18" s="24" t="n">
        <v>45703</v>
      </c>
      <c r="B18" s="20" t="s">
        <v>70</v>
      </c>
      <c r="C18" s="20" t="s">
        <v>77</v>
      </c>
      <c r="D18" s="20" t="n">
        <v>60</v>
      </c>
      <c r="E18" s="21" t="n">
        <f aca="false">Sales[[#This Row],[Units]]*_xlfn.XLOOKUP(Sales[[#This Row],[Product]],Prices[Product],Prices[Price])</f>
        <v>7740</v>
      </c>
      <c r="F18" s="20" t="str">
        <f aca="false">"Q"&amp;ROUNDUP(MONTH(Sales[[#This Row],[Date]])/3,0)</f>
        <v>Q1</v>
      </c>
    </row>
    <row r="19" customFormat="false" ht="14.25" hidden="false" customHeight="true" outlineLevel="0" collapsed="false">
      <c r="A19" s="24" t="n">
        <v>45703</v>
      </c>
      <c r="B19" s="20" t="s">
        <v>70</v>
      </c>
      <c r="C19" s="20" t="s">
        <v>78</v>
      </c>
      <c r="D19" s="20" t="n">
        <v>17</v>
      </c>
      <c r="E19" s="21" t="n">
        <f aca="false">Sales[[#This Row],[Units]]*_xlfn.XLOOKUP(Sales[[#This Row],[Product]],Prices[Product],Prices[Price])</f>
        <v>6783</v>
      </c>
      <c r="F19" s="20" t="str">
        <f aca="false">"Q"&amp;ROUNDUP(MONTH(Sales[[#This Row],[Date]])/3,0)</f>
        <v>Q1</v>
      </c>
    </row>
    <row r="20" customFormat="false" ht="14.25" hidden="false" customHeight="true" outlineLevel="0" collapsed="false">
      <c r="A20" s="24" t="n">
        <v>45703</v>
      </c>
      <c r="B20" s="20" t="s">
        <v>71</v>
      </c>
      <c r="C20" s="20" t="s">
        <v>76</v>
      </c>
      <c r="D20" s="20" t="n">
        <v>110</v>
      </c>
      <c r="E20" s="21" t="n">
        <f aca="false">Sales[[#This Row],[Units]]*_xlfn.XLOOKUP(Sales[[#This Row],[Product]],Prices[Product],Prices[Price])</f>
        <v>5390</v>
      </c>
      <c r="F20" s="20" t="str">
        <f aca="false">"Q"&amp;ROUNDUP(MONTH(Sales[[#This Row],[Date]])/3,0)</f>
        <v>Q1</v>
      </c>
    </row>
    <row r="21" customFormat="false" ht="14.25" hidden="false" customHeight="true" outlineLevel="0" collapsed="false">
      <c r="A21" s="24" t="n">
        <v>45703</v>
      </c>
      <c r="B21" s="20" t="s">
        <v>71</v>
      </c>
      <c r="C21" s="20" t="s">
        <v>77</v>
      </c>
      <c r="D21" s="20" t="n">
        <v>54</v>
      </c>
      <c r="E21" s="21" t="n">
        <f aca="false">Sales[[#This Row],[Units]]*_xlfn.XLOOKUP(Sales[[#This Row],[Product]],Prices[Product],Prices[Price])</f>
        <v>6966</v>
      </c>
      <c r="F21" s="20" t="str">
        <f aca="false">"Q"&amp;ROUNDUP(MONTH(Sales[[#This Row],[Date]])/3,0)</f>
        <v>Q1</v>
      </c>
    </row>
    <row r="22" customFormat="false" ht="14.25" hidden="false" customHeight="true" outlineLevel="0" collapsed="false">
      <c r="A22" s="24" t="n">
        <v>45703</v>
      </c>
      <c r="B22" s="20" t="s">
        <v>71</v>
      </c>
      <c r="C22" s="20" t="s">
        <v>78</v>
      </c>
      <c r="D22" s="20" t="n">
        <v>14</v>
      </c>
      <c r="E22" s="21" t="n">
        <f aca="false">Sales[[#This Row],[Units]]*_xlfn.XLOOKUP(Sales[[#This Row],[Product]],Prices[Product],Prices[Price])</f>
        <v>5586</v>
      </c>
      <c r="F22" s="20" t="str">
        <f aca="false">"Q"&amp;ROUNDUP(MONTH(Sales[[#This Row],[Date]])/3,0)</f>
        <v>Q1</v>
      </c>
    </row>
    <row r="23" customFormat="false" ht="14.25" hidden="false" customHeight="true" outlineLevel="0" collapsed="false">
      <c r="A23" s="24" t="n">
        <v>45703</v>
      </c>
      <c r="B23" s="20" t="s">
        <v>72</v>
      </c>
      <c r="C23" s="20" t="s">
        <v>76</v>
      </c>
      <c r="D23" s="20" t="n">
        <v>135</v>
      </c>
      <c r="E23" s="21" t="n">
        <f aca="false">Sales[[#This Row],[Units]]*_xlfn.XLOOKUP(Sales[[#This Row],[Product]],Prices[Product],Prices[Price])</f>
        <v>6615</v>
      </c>
      <c r="F23" s="20" t="str">
        <f aca="false">"Q"&amp;ROUNDUP(MONTH(Sales[[#This Row],[Date]])/3,0)</f>
        <v>Q1</v>
      </c>
    </row>
    <row r="24" customFormat="false" ht="14.25" hidden="false" customHeight="true" outlineLevel="0" collapsed="false">
      <c r="A24" s="24" t="n">
        <v>45703</v>
      </c>
      <c r="B24" s="20" t="s">
        <v>72</v>
      </c>
      <c r="C24" s="20" t="s">
        <v>77</v>
      </c>
      <c r="D24" s="20" t="n">
        <v>78</v>
      </c>
      <c r="E24" s="21" t="n">
        <f aca="false">Sales[[#This Row],[Units]]*_xlfn.XLOOKUP(Sales[[#This Row],[Product]],Prices[Product],Prices[Price])</f>
        <v>10062</v>
      </c>
      <c r="F24" s="20" t="str">
        <f aca="false">"Q"&amp;ROUNDUP(MONTH(Sales[[#This Row],[Date]])/3,0)</f>
        <v>Q1</v>
      </c>
    </row>
    <row r="25" customFormat="false" ht="14.25" hidden="false" customHeight="true" outlineLevel="0" collapsed="false">
      <c r="A25" s="24" t="n">
        <v>45703</v>
      </c>
      <c r="B25" s="20" t="s">
        <v>72</v>
      </c>
      <c r="C25" s="20" t="s">
        <v>78</v>
      </c>
      <c r="D25" s="20" t="n">
        <v>21</v>
      </c>
      <c r="E25" s="21" t="n">
        <f aca="false">Sales[[#This Row],[Units]]*_xlfn.XLOOKUP(Sales[[#This Row],[Product]],Prices[Product],Prices[Price])</f>
        <v>8379</v>
      </c>
      <c r="F25" s="20" t="str">
        <f aca="false">"Q"&amp;ROUNDUP(MONTH(Sales[[#This Row],[Date]])/3,0)</f>
        <v>Q1</v>
      </c>
    </row>
    <row r="26" customFormat="false" ht="14.25" hidden="false" customHeight="true" outlineLevel="0" collapsed="false">
      <c r="A26" s="24" t="n">
        <v>45731</v>
      </c>
      <c r="B26" s="20" t="s">
        <v>69</v>
      </c>
      <c r="C26" s="20" t="s">
        <v>76</v>
      </c>
      <c r="D26" s="20" t="n">
        <v>163</v>
      </c>
      <c r="E26" s="21" t="n">
        <f aca="false">Sales[[#This Row],[Units]]*_xlfn.XLOOKUP(Sales[[#This Row],[Product]],Prices[Product],Prices[Price])</f>
        <v>7987</v>
      </c>
      <c r="F26" s="20" t="str">
        <f aca="false">"Q"&amp;ROUNDUP(MONTH(Sales[[#This Row],[Date]])/3,0)</f>
        <v>Q1</v>
      </c>
    </row>
    <row r="27" customFormat="false" ht="14.25" hidden="false" customHeight="true" outlineLevel="0" collapsed="false">
      <c r="A27" s="24" t="n">
        <v>45731</v>
      </c>
      <c r="B27" s="20" t="s">
        <v>69</v>
      </c>
      <c r="C27" s="20" t="s">
        <v>77</v>
      </c>
      <c r="D27" s="20" t="n">
        <v>71</v>
      </c>
      <c r="E27" s="21" t="n">
        <f aca="false">Sales[[#This Row],[Units]]*_xlfn.XLOOKUP(Sales[[#This Row],[Product]],Prices[Product],Prices[Price])</f>
        <v>9159</v>
      </c>
      <c r="F27" s="20" t="str">
        <f aca="false">"Q"&amp;ROUNDUP(MONTH(Sales[[#This Row],[Date]])/3,0)</f>
        <v>Q1</v>
      </c>
    </row>
    <row r="28" customFormat="false" ht="14.25" hidden="false" customHeight="true" outlineLevel="0" collapsed="false">
      <c r="A28" s="24" t="n">
        <v>45731</v>
      </c>
      <c r="B28" s="20" t="s">
        <v>69</v>
      </c>
      <c r="C28" s="20" t="s">
        <v>78</v>
      </c>
      <c r="D28" s="20" t="n">
        <v>19</v>
      </c>
      <c r="E28" s="21" t="n">
        <f aca="false">Sales[[#This Row],[Units]]*_xlfn.XLOOKUP(Sales[[#This Row],[Product]],Prices[Product],Prices[Price])</f>
        <v>7581</v>
      </c>
      <c r="F28" s="20" t="str">
        <f aca="false">"Q"&amp;ROUNDUP(MONTH(Sales[[#This Row],[Date]])/3,0)</f>
        <v>Q1</v>
      </c>
    </row>
    <row r="29" customFormat="false" ht="14.25" hidden="false" customHeight="true" outlineLevel="0" collapsed="false">
      <c r="A29" s="24" t="n">
        <v>45731</v>
      </c>
      <c r="B29" s="20" t="s">
        <v>70</v>
      </c>
      <c r="C29" s="20" t="s">
        <v>76</v>
      </c>
      <c r="D29" s="20" t="n">
        <v>125</v>
      </c>
      <c r="E29" s="21" t="n">
        <f aca="false">Sales[[#This Row],[Units]]*_xlfn.XLOOKUP(Sales[[#This Row],[Product]],Prices[Product],Prices[Price])</f>
        <v>6125</v>
      </c>
      <c r="F29" s="20" t="str">
        <f aca="false">"Q"&amp;ROUNDUP(MONTH(Sales[[#This Row],[Date]])/3,0)</f>
        <v>Q1</v>
      </c>
    </row>
    <row r="30" customFormat="false" ht="14.25" hidden="false" customHeight="true" outlineLevel="0" collapsed="false">
      <c r="A30" s="24" t="n">
        <v>45731</v>
      </c>
      <c r="B30" s="20" t="s">
        <v>70</v>
      </c>
      <c r="C30" s="20" t="s">
        <v>77</v>
      </c>
      <c r="D30" s="20" t="n">
        <v>67</v>
      </c>
      <c r="E30" s="21" t="n">
        <f aca="false">Sales[[#This Row],[Units]]*_xlfn.XLOOKUP(Sales[[#This Row],[Product]],Prices[Product],Prices[Price])</f>
        <v>8643</v>
      </c>
      <c r="F30" s="20" t="str">
        <f aca="false">"Q"&amp;ROUNDUP(MONTH(Sales[[#This Row],[Date]])/3,0)</f>
        <v>Q1</v>
      </c>
    </row>
    <row r="31" customFormat="false" ht="14.25" hidden="false" customHeight="true" outlineLevel="0" collapsed="false">
      <c r="A31" s="24" t="n">
        <v>45731</v>
      </c>
      <c r="B31" s="20" t="s">
        <v>70</v>
      </c>
      <c r="C31" s="20" t="s">
        <v>78</v>
      </c>
      <c r="D31" s="20" t="n">
        <v>12</v>
      </c>
      <c r="E31" s="21" t="n">
        <f aca="false">Sales[[#This Row],[Units]]*_xlfn.XLOOKUP(Sales[[#This Row],[Product]],Prices[Product],Prices[Price])</f>
        <v>4788</v>
      </c>
      <c r="F31" s="20" t="str">
        <f aca="false">"Q"&amp;ROUNDUP(MONTH(Sales[[#This Row],[Date]])/3,0)</f>
        <v>Q1</v>
      </c>
    </row>
    <row r="32" customFormat="false" ht="14.25" hidden="false" customHeight="true" outlineLevel="0" collapsed="false">
      <c r="A32" s="24" t="n">
        <v>45731</v>
      </c>
      <c r="B32" s="20" t="s">
        <v>71</v>
      </c>
      <c r="C32" s="20" t="s">
        <v>76</v>
      </c>
      <c r="D32" s="20" t="n">
        <v>124</v>
      </c>
      <c r="E32" s="21" t="n">
        <f aca="false">Sales[[#This Row],[Units]]*_xlfn.XLOOKUP(Sales[[#This Row],[Product]],Prices[Product],Prices[Price])</f>
        <v>6076</v>
      </c>
      <c r="F32" s="20" t="str">
        <f aca="false">"Q"&amp;ROUNDUP(MONTH(Sales[[#This Row],[Date]])/3,0)</f>
        <v>Q1</v>
      </c>
    </row>
    <row r="33" customFormat="false" ht="14.25" hidden="false" customHeight="true" outlineLevel="0" collapsed="false">
      <c r="A33" s="24" t="n">
        <v>45731</v>
      </c>
      <c r="B33" s="20" t="s">
        <v>71</v>
      </c>
      <c r="C33" s="20" t="s">
        <v>77</v>
      </c>
      <c r="D33" s="20" t="n">
        <v>43</v>
      </c>
      <c r="E33" s="21" t="n">
        <f aca="false">Sales[[#This Row],[Units]]*_xlfn.XLOOKUP(Sales[[#This Row],[Product]],Prices[Product],Prices[Price])</f>
        <v>5547</v>
      </c>
      <c r="F33" s="20" t="str">
        <f aca="false">"Q"&amp;ROUNDUP(MONTH(Sales[[#This Row],[Date]])/3,0)</f>
        <v>Q1</v>
      </c>
    </row>
    <row r="34" customFormat="false" ht="14.25" hidden="false" customHeight="true" outlineLevel="0" collapsed="false">
      <c r="A34" s="24" t="n">
        <v>45731</v>
      </c>
      <c r="B34" s="20" t="s">
        <v>71</v>
      </c>
      <c r="C34" s="20" t="s">
        <v>78</v>
      </c>
      <c r="D34" s="20" t="n">
        <v>8</v>
      </c>
      <c r="E34" s="21" t="n">
        <f aca="false">Sales[[#This Row],[Units]]*_xlfn.XLOOKUP(Sales[[#This Row],[Product]],Prices[Product],Prices[Price])</f>
        <v>3192</v>
      </c>
      <c r="F34" s="20" t="str">
        <f aca="false">"Q"&amp;ROUNDUP(MONTH(Sales[[#This Row],[Date]])/3,0)</f>
        <v>Q1</v>
      </c>
    </row>
    <row r="35" customFormat="false" ht="14.25" hidden="false" customHeight="true" outlineLevel="0" collapsed="false">
      <c r="A35" s="24" t="n">
        <v>45731</v>
      </c>
      <c r="B35" s="20" t="s">
        <v>72</v>
      </c>
      <c r="C35" s="20" t="s">
        <v>76</v>
      </c>
      <c r="D35" s="20" t="n">
        <v>157</v>
      </c>
      <c r="E35" s="21" t="n">
        <f aca="false">Sales[[#This Row],[Units]]*_xlfn.XLOOKUP(Sales[[#This Row],[Product]],Prices[Product],Prices[Price])</f>
        <v>7693</v>
      </c>
      <c r="F35" s="20" t="str">
        <f aca="false">"Q"&amp;ROUNDUP(MONTH(Sales[[#This Row],[Date]])/3,0)</f>
        <v>Q1</v>
      </c>
    </row>
    <row r="36" customFormat="false" ht="14.25" hidden="false" customHeight="true" outlineLevel="0" collapsed="false">
      <c r="A36" s="24" t="n">
        <v>45731</v>
      </c>
      <c r="B36" s="20" t="s">
        <v>72</v>
      </c>
      <c r="C36" s="20" t="s">
        <v>77</v>
      </c>
      <c r="D36" s="20" t="n">
        <v>75</v>
      </c>
      <c r="E36" s="21" t="n">
        <f aca="false">Sales[[#This Row],[Units]]*_xlfn.XLOOKUP(Sales[[#This Row],[Product]],Prices[Product],Prices[Price])</f>
        <v>9675</v>
      </c>
      <c r="F36" s="20" t="str">
        <f aca="false">"Q"&amp;ROUNDUP(MONTH(Sales[[#This Row],[Date]])/3,0)</f>
        <v>Q1</v>
      </c>
    </row>
    <row r="37" customFormat="false" ht="14.25" hidden="false" customHeight="true" outlineLevel="0" collapsed="false">
      <c r="A37" s="24" t="n">
        <v>45731</v>
      </c>
      <c r="B37" s="20" t="s">
        <v>72</v>
      </c>
      <c r="C37" s="20" t="s">
        <v>78</v>
      </c>
      <c r="D37" s="20" t="n">
        <v>22</v>
      </c>
      <c r="E37" s="21" t="n">
        <f aca="false">Sales[[#This Row],[Units]]*_xlfn.XLOOKUP(Sales[[#This Row],[Product]],Prices[Product],Prices[Price])</f>
        <v>8778</v>
      </c>
      <c r="F37" s="20" t="str">
        <f aca="false">"Q"&amp;ROUNDUP(MONTH(Sales[[#This Row],[Date]])/3,0)</f>
        <v>Q1</v>
      </c>
    </row>
    <row r="38" customFormat="false" ht="14.25" hidden="false" customHeight="true" outlineLevel="0" collapsed="false">
      <c r="A38" s="24" t="n">
        <v>45762</v>
      </c>
      <c r="B38" s="20" t="s">
        <v>69</v>
      </c>
      <c r="C38" s="20" t="s">
        <v>76</v>
      </c>
      <c r="D38" s="20" t="n">
        <v>165</v>
      </c>
      <c r="E38" s="21" t="n">
        <f aca="false">Sales[[#This Row],[Units]]*_xlfn.XLOOKUP(Sales[[#This Row],[Product]],Prices[Product],Prices[Price])</f>
        <v>8085</v>
      </c>
      <c r="F38" s="20" t="str">
        <f aca="false">"Q"&amp;ROUNDUP(MONTH(Sales[[#This Row],[Date]])/3,0)</f>
        <v>Q2</v>
      </c>
    </row>
    <row r="39" customFormat="false" ht="14.25" hidden="false" customHeight="true" outlineLevel="0" collapsed="false">
      <c r="A39" s="24" t="n">
        <v>45762</v>
      </c>
      <c r="B39" s="20" t="s">
        <v>69</v>
      </c>
      <c r="C39" s="20" t="s">
        <v>77</v>
      </c>
      <c r="D39" s="20" t="n">
        <v>65</v>
      </c>
      <c r="E39" s="21" t="n">
        <f aca="false">Sales[[#This Row],[Units]]*_xlfn.XLOOKUP(Sales[[#This Row],[Product]],Prices[Product],Prices[Price])</f>
        <v>8385</v>
      </c>
      <c r="F39" s="20" t="str">
        <f aca="false">"Q"&amp;ROUNDUP(MONTH(Sales[[#This Row],[Date]])/3,0)</f>
        <v>Q2</v>
      </c>
    </row>
    <row r="40" customFormat="false" ht="14.25" hidden="false" customHeight="true" outlineLevel="0" collapsed="false">
      <c r="A40" s="24" t="n">
        <v>45762</v>
      </c>
      <c r="B40" s="20" t="s">
        <v>69</v>
      </c>
      <c r="C40" s="20" t="s">
        <v>78</v>
      </c>
      <c r="D40" s="20" t="n">
        <v>21</v>
      </c>
      <c r="E40" s="21" t="n">
        <f aca="false">Sales[[#This Row],[Units]]*_xlfn.XLOOKUP(Sales[[#This Row],[Product]],Prices[Product],Prices[Price])</f>
        <v>8379</v>
      </c>
      <c r="F40" s="20" t="str">
        <f aca="false">"Q"&amp;ROUNDUP(MONTH(Sales[[#This Row],[Date]])/3,0)</f>
        <v>Q2</v>
      </c>
    </row>
    <row r="41" customFormat="false" ht="14.25" hidden="false" customHeight="true" outlineLevel="0" collapsed="false">
      <c r="A41" s="24" t="n">
        <v>45762</v>
      </c>
      <c r="B41" s="20" t="s">
        <v>70</v>
      </c>
      <c r="C41" s="20" t="s">
        <v>76</v>
      </c>
      <c r="D41" s="20" t="n">
        <v>107</v>
      </c>
      <c r="E41" s="21" t="n">
        <f aca="false">Sales[[#This Row],[Units]]*_xlfn.XLOOKUP(Sales[[#This Row],[Product]],Prices[Product],Prices[Price])</f>
        <v>5243</v>
      </c>
      <c r="F41" s="20" t="str">
        <f aca="false">"Q"&amp;ROUNDUP(MONTH(Sales[[#This Row],[Date]])/3,0)</f>
        <v>Q2</v>
      </c>
    </row>
    <row r="42" customFormat="false" ht="14.25" hidden="false" customHeight="true" outlineLevel="0" collapsed="false">
      <c r="A42" s="24" t="n">
        <v>45762</v>
      </c>
      <c r="B42" s="20" t="s">
        <v>70</v>
      </c>
      <c r="C42" s="20" t="s">
        <v>77</v>
      </c>
      <c r="D42" s="20" t="n">
        <v>61</v>
      </c>
      <c r="E42" s="21" t="n">
        <f aca="false">Sales[[#This Row],[Units]]*_xlfn.XLOOKUP(Sales[[#This Row],[Product]],Prices[Product],Prices[Price])</f>
        <v>7869</v>
      </c>
      <c r="F42" s="20" t="str">
        <f aca="false">"Q"&amp;ROUNDUP(MONTH(Sales[[#This Row],[Date]])/3,0)</f>
        <v>Q2</v>
      </c>
    </row>
    <row r="43" customFormat="false" ht="14.25" hidden="false" customHeight="true" outlineLevel="0" collapsed="false">
      <c r="A43" s="24" t="n">
        <v>45762</v>
      </c>
      <c r="B43" s="20" t="s">
        <v>70</v>
      </c>
      <c r="C43" s="20" t="s">
        <v>78</v>
      </c>
      <c r="D43" s="20" t="n">
        <v>14</v>
      </c>
      <c r="E43" s="21" t="n">
        <f aca="false">Sales[[#This Row],[Units]]*_xlfn.XLOOKUP(Sales[[#This Row],[Product]],Prices[Product],Prices[Price])</f>
        <v>5586</v>
      </c>
      <c r="F43" s="20" t="str">
        <f aca="false">"Q"&amp;ROUNDUP(MONTH(Sales[[#This Row],[Date]])/3,0)</f>
        <v>Q2</v>
      </c>
    </row>
    <row r="44" customFormat="false" ht="14.25" hidden="false" customHeight="true" outlineLevel="0" collapsed="false">
      <c r="A44" s="24" t="n">
        <v>45762</v>
      </c>
      <c r="B44" s="20" t="s">
        <v>71</v>
      </c>
      <c r="C44" s="20" t="s">
        <v>76</v>
      </c>
      <c r="D44" s="20" t="n">
        <v>120</v>
      </c>
      <c r="E44" s="21" t="n">
        <f aca="false">Sales[[#This Row],[Units]]*_xlfn.XLOOKUP(Sales[[#This Row],[Product]],Prices[Product],Prices[Price])</f>
        <v>5880</v>
      </c>
      <c r="F44" s="20" t="str">
        <f aca="false">"Q"&amp;ROUNDUP(MONTH(Sales[[#This Row],[Date]])/3,0)</f>
        <v>Q2</v>
      </c>
    </row>
    <row r="45" customFormat="false" ht="14.25" hidden="false" customHeight="true" outlineLevel="0" collapsed="false">
      <c r="A45" s="24" t="n">
        <v>45762</v>
      </c>
      <c r="B45" s="20" t="s">
        <v>71</v>
      </c>
      <c r="C45" s="20" t="s">
        <v>77</v>
      </c>
      <c r="D45" s="20" t="n">
        <v>66</v>
      </c>
      <c r="E45" s="21" t="n">
        <f aca="false">Sales[[#This Row],[Units]]*_xlfn.XLOOKUP(Sales[[#This Row],[Product]],Prices[Product],Prices[Price])</f>
        <v>8514</v>
      </c>
      <c r="F45" s="20" t="str">
        <f aca="false">"Q"&amp;ROUNDUP(MONTH(Sales[[#This Row],[Date]])/3,0)</f>
        <v>Q2</v>
      </c>
    </row>
    <row r="46" customFormat="false" ht="14.25" hidden="false" customHeight="true" outlineLevel="0" collapsed="false">
      <c r="A46" s="24" t="n">
        <v>45762</v>
      </c>
      <c r="B46" s="20" t="s">
        <v>71</v>
      </c>
      <c r="C46" s="20" t="s">
        <v>78</v>
      </c>
      <c r="D46" s="20" t="n">
        <v>16</v>
      </c>
      <c r="E46" s="21" t="n">
        <f aca="false">Sales[[#This Row],[Units]]*_xlfn.XLOOKUP(Sales[[#This Row],[Product]],Prices[Product],Prices[Price])</f>
        <v>6384</v>
      </c>
      <c r="F46" s="20" t="str">
        <f aca="false">"Q"&amp;ROUNDUP(MONTH(Sales[[#This Row],[Date]])/3,0)</f>
        <v>Q2</v>
      </c>
    </row>
    <row r="47" customFormat="false" ht="14.25" hidden="false" customHeight="true" outlineLevel="0" collapsed="false">
      <c r="A47" s="24" t="n">
        <v>45762</v>
      </c>
      <c r="B47" s="20" t="s">
        <v>72</v>
      </c>
      <c r="C47" s="20" t="s">
        <v>76</v>
      </c>
      <c r="D47" s="20" t="n">
        <v>180</v>
      </c>
      <c r="E47" s="21" t="n">
        <f aca="false">Sales[[#This Row],[Units]]*_xlfn.XLOOKUP(Sales[[#This Row],[Product]],Prices[Product],Prices[Price])</f>
        <v>8820</v>
      </c>
      <c r="F47" s="20" t="str">
        <f aca="false">"Q"&amp;ROUNDUP(MONTH(Sales[[#This Row],[Date]])/3,0)</f>
        <v>Q2</v>
      </c>
    </row>
    <row r="48" customFormat="false" ht="14.25" hidden="false" customHeight="true" outlineLevel="0" collapsed="false">
      <c r="A48" s="24" t="n">
        <v>45762</v>
      </c>
      <c r="B48" s="20" t="s">
        <v>72</v>
      </c>
      <c r="C48" s="20" t="s">
        <v>77</v>
      </c>
      <c r="D48" s="20" t="n">
        <v>92</v>
      </c>
      <c r="E48" s="21" t="n">
        <f aca="false">Sales[[#This Row],[Units]]*_xlfn.XLOOKUP(Sales[[#This Row],[Product]],Prices[Product],Prices[Price])</f>
        <v>11868</v>
      </c>
      <c r="F48" s="20" t="str">
        <f aca="false">"Q"&amp;ROUNDUP(MONTH(Sales[[#This Row],[Date]])/3,0)</f>
        <v>Q2</v>
      </c>
    </row>
    <row r="49" customFormat="false" ht="14.25" hidden="false" customHeight="true" outlineLevel="0" collapsed="false">
      <c r="A49" s="24" t="n">
        <v>45762</v>
      </c>
      <c r="B49" s="20" t="s">
        <v>72</v>
      </c>
      <c r="C49" s="20" t="s">
        <v>78</v>
      </c>
      <c r="D49" s="20" t="n">
        <v>22</v>
      </c>
      <c r="E49" s="21" t="n">
        <f aca="false">Sales[[#This Row],[Units]]*_xlfn.XLOOKUP(Sales[[#This Row],[Product]],Prices[Product],Prices[Price])</f>
        <v>8778</v>
      </c>
      <c r="F49" s="20" t="str">
        <f aca="false">"Q"&amp;ROUNDUP(MONTH(Sales[[#This Row],[Date]])/3,0)</f>
        <v>Q2</v>
      </c>
    </row>
    <row r="50" customFormat="false" ht="14.25" hidden="false" customHeight="true" outlineLevel="0" collapsed="false">
      <c r="A50" s="24" t="n">
        <v>45792</v>
      </c>
      <c r="B50" s="20" t="s">
        <v>69</v>
      </c>
      <c r="C50" s="20" t="s">
        <v>76</v>
      </c>
      <c r="D50" s="20" t="n">
        <v>147</v>
      </c>
      <c r="E50" s="21" t="n">
        <f aca="false">Sales[[#This Row],[Units]]*_xlfn.XLOOKUP(Sales[[#This Row],[Product]],Prices[Product],Prices[Price])</f>
        <v>7203</v>
      </c>
      <c r="F50" s="20" t="str">
        <f aca="false">"Q"&amp;ROUNDUP(MONTH(Sales[[#This Row],[Date]])/3,0)</f>
        <v>Q2</v>
      </c>
    </row>
    <row r="51" customFormat="false" ht="14.25" hidden="false" customHeight="true" outlineLevel="0" collapsed="false">
      <c r="A51" s="24" t="n">
        <v>45792</v>
      </c>
      <c r="B51" s="20" t="s">
        <v>69</v>
      </c>
      <c r="C51" s="20" t="s">
        <v>77</v>
      </c>
      <c r="D51" s="20" t="n">
        <v>72</v>
      </c>
      <c r="E51" s="21" t="n">
        <f aca="false">Sales[[#This Row],[Units]]*_xlfn.XLOOKUP(Sales[[#This Row],[Product]],Prices[Product],Prices[Price])</f>
        <v>9288</v>
      </c>
      <c r="F51" s="20" t="str">
        <f aca="false">"Q"&amp;ROUNDUP(MONTH(Sales[[#This Row],[Date]])/3,0)</f>
        <v>Q2</v>
      </c>
    </row>
    <row r="52" customFormat="false" ht="14.25" hidden="false" customHeight="true" outlineLevel="0" collapsed="false">
      <c r="A52" s="24" t="n">
        <v>45792</v>
      </c>
      <c r="B52" s="20" t="s">
        <v>69</v>
      </c>
      <c r="C52" s="20" t="s">
        <v>78</v>
      </c>
      <c r="D52" s="20" t="n">
        <v>18</v>
      </c>
      <c r="E52" s="21" t="n">
        <f aca="false">Sales[[#This Row],[Units]]*_xlfn.XLOOKUP(Sales[[#This Row],[Product]],Prices[Product],Prices[Price])</f>
        <v>7182</v>
      </c>
      <c r="F52" s="20" t="str">
        <f aca="false">"Q"&amp;ROUNDUP(MONTH(Sales[[#This Row],[Date]])/3,0)</f>
        <v>Q2</v>
      </c>
    </row>
    <row r="53" customFormat="false" ht="14.25" hidden="false" customHeight="true" outlineLevel="0" collapsed="false">
      <c r="A53" s="24" t="n">
        <v>45792</v>
      </c>
      <c r="B53" s="20" t="s">
        <v>70</v>
      </c>
      <c r="C53" s="20" t="s">
        <v>76</v>
      </c>
      <c r="D53" s="20" t="n">
        <v>138</v>
      </c>
      <c r="E53" s="21" t="n">
        <f aca="false">Sales[[#This Row],[Units]]*_xlfn.XLOOKUP(Sales[[#This Row],[Product]],Prices[Product],Prices[Price])</f>
        <v>6762</v>
      </c>
      <c r="F53" s="20" t="str">
        <f aca="false">"Q"&amp;ROUNDUP(MONTH(Sales[[#This Row],[Date]])/3,0)</f>
        <v>Q2</v>
      </c>
    </row>
    <row r="54" customFormat="false" ht="14.25" hidden="false" customHeight="true" outlineLevel="0" collapsed="false">
      <c r="A54" s="24" t="n">
        <v>45792</v>
      </c>
      <c r="B54" s="20" t="s">
        <v>70</v>
      </c>
      <c r="C54" s="20" t="s">
        <v>77</v>
      </c>
      <c r="D54" s="20" t="n">
        <v>62</v>
      </c>
      <c r="E54" s="21" t="n">
        <f aca="false">Sales[[#This Row],[Units]]*_xlfn.XLOOKUP(Sales[[#This Row],[Product]],Prices[Product],Prices[Price])</f>
        <v>7998</v>
      </c>
      <c r="F54" s="20" t="str">
        <f aca="false">"Q"&amp;ROUNDUP(MONTH(Sales[[#This Row],[Date]])/3,0)</f>
        <v>Q2</v>
      </c>
    </row>
    <row r="55" customFormat="false" ht="14.25" hidden="false" customHeight="true" outlineLevel="0" collapsed="false">
      <c r="A55" s="24" t="n">
        <v>45792</v>
      </c>
      <c r="B55" s="20" t="s">
        <v>70</v>
      </c>
      <c r="C55" s="20" t="s">
        <v>78</v>
      </c>
      <c r="D55" s="20" t="n">
        <v>21</v>
      </c>
      <c r="E55" s="21" t="n">
        <f aca="false">Sales[[#This Row],[Units]]*_xlfn.XLOOKUP(Sales[[#This Row],[Product]],Prices[Product],Prices[Price])</f>
        <v>8379</v>
      </c>
      <c r="F55" s="20" t="str">
        <f aca="false">"Q"&amp;ROUNDUP(MONTH(Sales[[#This Row],[Date]])/3,0)</f>
        <v>Q2</v>
      </c>
    </row>
    <row r="56" customFormat="false" ht="14.25" hidden="false" customHeight="true" outlineLevel="0" collapsed="false">
      <c r="A56" s="24" t="n">
        <v>45792</v>
      </c>
      <c r="B56" s="20" t="s">
        <v>71</v>
      </c>
      <c r="C56" s="20" t="s">
        <v>76</v>
      </c>
      <c r="D56" s="20" t="n">
        <v>107</v>
      </c>
      <c r="E56" s="21" t="n">
        <f aca="false">Sales[[#This Row],[Units]]*_xlfn.XLOOKUP(Sales[[#This Row],[Product]],Prices[Product],Prices[Price])</f>
        <v>5243</v>
      </c>
      <c r="F56" s="20" t="str">
        <f aca="false">"Q"&amp;ROUNDUP(MONTH(Sales[[#This Row],[Date]])/3,0)</f>
        <v>Q2</v>
      </c>
    </row>
    <row r="57" customFormat="false" ht="14.25" hidden="false" customHeight="true" outlineLevel="0" collapsed="false">
      <c r="A57" s="24" t="n">
        <v>45792</v>
      </c>
      <c r="B57" s="20" t="s">
        <v>71</v>
      </c>
      <c r="C57" s="20" t="s">
        <v>77</v>
      </c>
      <c r="D57" s="20" t="n">
        <v>51</v>
      </c>
      <c r="E57" s="21" t="n">
        <f aca="false">Sales[[#This Row],[Units]]*_xlfn.XLOOKUP(Sales[[#This Row],[Product]],Prices[Product],Prices[Price])</f>
        <v>6579</v>
      </c>
      <c r="F57" s="20" t="str">
        <f aca="false">"Q"&amp;ROUNDUP(MONTH(Sales[[#This Row],[Date]])/3,0)</f>
        <v>Q2</v>
      </c>
    </row>
    <row r="58" customFormat="false" ht="14.25" hidden="false" customHeight="true" outlineLevel="0" collapsed="false">
      <c r="A58" s="24" t="n">
        <v>45792</v>
      </c>
      <c r="B58" s="20" t="s">
        <v>71</v>
      </c>
      <c r="C58" s="20" t="s">
        <v>78</v>
      </c>
      <c r="D58" s="20" t="n">
        <v>17</v>
      </c>
      <c r="E58" s="21" t="n">
        <f aca="false">Sales[[#This Row],[Units]]*_xlfn.XLOOKUP(Sales[[#This Row],[Product]],Prices[Product],Prices[Price])</f>
        <v>6783</v>
      </c>
      <c r="F58" s="20" t="str">
        <f aca="false">"Q"&amp;ROUNDUP(MONTH(Sales[[#This Row],[Date]])/3,0)</f>
        <v>Q2</v>
      </c>
    </row>
    <row r="59" customFormat="false" ht="14.25" hidden="false" customHeight="true" outlineLevel="0" collapsed="false">
      <c r="A59" s="24" t="n">
        <v>45792</v>
      </c>
      <c r="B59" s="20" t="s">
        <v>72</v>
      </c>
      <c r="C59" s="20" t="s">
        <v>76</v>
      </c>
      <c r="D59" s="20" t="n">
        <v>205</v>
      </c>
      <c r="E59" s="21" t="n">
        <f aca="false">Sales[[#This Row],[Units]]*_xlfn.XLOOKUP(Sales[[#This Row],[Product]],Prices[Product],Prices[Price])</f>
        <v>10045</v>
      </c>
      <c r="F59" s="20" t="str">
        <f aca="false">"Q"&amp;ROUNDUP(MONTH(Sales[[#This Row],[Date]])/3,0)</f>
        <v>Q2</v>
      </c>
    </row>
    <row r="60" customFormat="false" ht="14.25" hidden="false" customHeight="true" outlineLevel="0" collapsed="false">
      <c r="A60" s="24" t="n">
        <v>45792</v>
      </c>
      <c r="B60" s="20" t="s">
        <v>72</v>
      </c>
      <c r="C60" s="20" t="s">
        <v>77</v>
      </c>
      <c r="D60" s="20" t="n">
        <v>94</v>
      </c>
      <c r="E60" s="21" t="n">
        <f aca="false">Sales[[#This Row],[Units]]*_xlfn.XLOOKUP(Sales[[#This Row],[Product]],Prices[Product],Prices[Price])</f>
        <v>12126</v>
      </c>
      <c r="F60" s="20" t="str">
        <f aca="false">"Q"&amp;ROUNDUP(MONTH(Sales[[#This Row],[Date]])/3,0)</f>
        <v>Q2</v>
      </c>
    </row>
    <row r="61" customFormat="false" ht="14.25" hidden="false" customHeight="true" outlineLevel="0" collapsed="false">
      <c r="A61" s="24" t="n">
        <v>45792</v>
      </c>
      <c r="B61" s="20" t="s">
        <v>72</v>
      </c>
      <c r="C61" s="20" t="s">
        <v>78</v>
      </c>
      <c r="D61" s="20" t="n">
        <v>24</v>
      </c>
      <c r="E61" s="21" t="n">
        <f aca="false">Sales[[#This Row],[Units]]*_xlfn.XLOOKUP(Sales[[#This Row],[Product]],Prices[Product],Prices[Price])</f>
        <v>9576</v>
      </c>
      <c r="F61" s="20" t="str">
        <f aca="false">"Q"&amp;ROUNDUP(MONTH(Sales[[#This Row],[Date]])/3,0)</f>
        <v>Q2</v>
      </c>
    </row>
    <row r="62" customFormat="false" ht="14.25" hidden="false" customHeight="true" outlineLevel="0" collapsed="false">
      <c r="A62" s="24" t="n">
        <v>45823</v>
      </c>
      <c r="B62" s="20" t="s">
        <v>69</v>
      </c>
      <c r="C62" s="20" t="s">
        <v>76</v>
      </c>
      <c r="D62" s="20" t="n">
        <v>189</v>
      </c>
      <c r="E62" s="21" t="n">
        <f aca="false">Sales[[#This Row],[Units]]*_xlfn.XLOOKUP(Sales[[#This Row],[Product]],Prices[Product],Prices[Price])</f>
        <v>9261</v>
      </c>
      <c r="F62" s="20" t="str">
        <f aca="false">"Q"&amp;ROUNDUP(MONTH(Sales[[#This Row],[Date]])/3,0)</f>
        <v>Q2</v>
      </c>
    </row>
    <row r="63" customFormat="false" ht="14.25" hidden="false" customHeight="true" outlineLevel="0" collapsed="false">
      <c r="A63" s="24" t="n">
        <v>45823</v>
      </c>
      <c r="B63" s="20" t="s">
        <v>69</v>
      </c>
      <c r="C63" s="20" t="s">
        <v>77</v>
      </c>
      <c r="D63" s="20" t="n">
        <v>80</v>
      </c>
      <c r="E63" s="21" t="n">
        <f aca="false">Sales[[#This Row],[Units]]*_xlfn.XLOOKUP(Sales[[#This Row],[Product]],Prices[Product],Prices[Price])</f>
        <v>10320</v>
      </c>
      <c r="F63" s="20" t="str">
        <f aca="false">"Q"&amp;ROUNDUP(MONTH(Sales[[#This Row],[Date]])/3,0)</f>
        <v>Q2</v>
      </c>
    </row>
    <row r="64" customFormat="false" ht="14.25" hidden="false" customHeight="true" outlineLevel="0" collapsed="false">
      <c r="A64" s="24" t="n">
        <v>45823</v>
      </c>
      <c r="B64" s="20" t="s">
        <v>69</v>
      </c>
      <c r="C64" s="20" t="s">
        <v>78</v>
      </c>
      <c r="D64" s="20" t="n">
        <v>17</v>
      </c>
      <c r="E64" s="21" t="n">
        <f aca="false">Sales[[#This Row],[Units]]*_xlfn.XLOOKUP(Sales[[#This Row],[Product]],Prices[Product],Prices[Price])</f>
        <v>6783</v>
      </c>
      <c r="F64" s="20" t="str">
        <f aca="false">"Q"&amp;ROUNDUP(MONTH(Sales[[#This Row],[Date]])/3,0)</f>
        <v>Q2</v>
      </c>
    </row>
    <row r="65" customFormat="false" ht="14.25" hidden="false" customHeight="true" outlineLevel="0" collapsed="false">
      <c r="A65" s="24" t="n">
        <v>45823</v>
      </c>
      <c r="B65" s="20" t="s">
        <v>70</v>
      </c>
      <c r="C65" s="20" t="s">
        <v>76</v>
      </c>
      <c r="D65" s="20" t="n">
        <v>124</v>
      </c>
      <c r="E65" s="21" t="n">
        <f aca="false">Sales[[#This Row],[Units]]*_xlfn.XLOOKUP(Sales[[#This Row],[Product]],Prices[Product],Prices[Price])</f>
        <v>6076</v>
      </c>
      <c r="F65" s="20" t="str">
        <f aca="false">"Q"&amp;ROUNDUP(MONTH(Sales[[#This Row],[Date]])/3,0)</f>
        <v>Q2</v>
      </c>
    </row>
    <row r="66" customFormat="false" ht="14.25" hidden="false" customHeight="true" outlineLevel="0" collapsed="false">
      <c r="A66" s="24" t="n">
        <v>45823</v>
      </c>
      <c r="B66" s="20" t="s">
        <v>70</v>
      </c>
      <c r="C66" s="20" t="s">
        <v>77</v>
      </c>
      <c r="D66" s="20" t="n">
        <v>75</v>
      </c>
      <c r="E66" s="21" t="n">
        <f aca="false">Sales[[#This Row],[Units]]*_xlfn.XLOOKUP(Sales[[#This Row],[Product]],Prices[Product],Prices[Price])</f>
        <v>9675</v>
      </c>
      <c r="F66" s="20" t="str">
        <f aca="false">"Q"&amp;ROUNDUP(MONTH(Sales[[#This Row],[Date]])/3,0)</f>
        <v>Q2</v>
      </c>
    </row>
    <row r="67" customFormat="false" ht="14.25" hidden="false" customHeight="true" outlineLevel="0" collapsed="false">
      <c r="A67" s="24" t="n">
        <v>45823</v>
      </c>
      <c r="B67" s="20" t="s">
        <v>70</v>
      </c>
      <c r="C67" s="20" t="s">
        <v>78</v>
      </c>
      <c r="D67" s="20" t="n">
        <v>13</v>
      </c>
      <c r="E67" s="21" t="n">
        <f aca="false">Sales[[#This Row],[Units]]*_xlfn.XLOOKUP(Sales[[#This Row],[Product]],Prices[Product],Prices[Price])</f>
        <v>5187</v>
      </c>
      <c r="F67" s="20" t="str">
        <f aca="false">"Q"&amp;ROUNDUP(MONTH(Sales[[#This Row],[Date]])/3,0)</f>
        <v>Q2</v>
      </c>
    </row>
    <row r="68" customFormat="false" ht="14.25" hidden="false" customHeight="true" outlineLevel="0" collapsed="false">
      <c r="A68" s="24" t="n">
        <v>45823</v>
      </c>
      <c r="B68" s="20" t="s">
        <v>71</v>
      </c>
      <c r="C68" s="20" t="s">
        <v>76</v>
      </c>
      <c r="D68" s="20" t="n">
        <v>127</v>
      </c>
      <c r="E68" s="21" t="n">
        <f aca="false">Sales[[#This Row],[Units]]*_xlfn.XLOOKUP(Sales[[#This Row],[Product]],Prices[Product],Prices[Price])</f>
        <v>6223</v>
      </c>
      <c r="F68" s="20" t="str">
        <f aca="false">"Q"&amp;ROUNDUP(MONTH(Sales[[#This Row],[Date]])/3,0)</f>
        <v>Q2</v>
      </c>
    </row>
    <row r="69" customFormat="false" ht="14.25" hidden="false" customHeight="true" outlineLevel="0" collapsed="false">
      <c r="A69" s="24" t="n">
        <v>45823</v>
      </c>
      <c r="B69" s="20" t="s">
        <v>71</v>
      </c>
      <c r="C69" s="20" t="s">
        <v>77</v>
      </c>
      <c r="D69" s="20" t="n">
        <v>65</v>
      </c>
      <c r="E69" s="21" t="n">
        <f aca="false">Sales[[#This Row],[Units]]*_xlfn.XLOOKUP(Sales[[#This Row],[Product]],Prices[Product],Prices[Price])</f>
        <v>8385</v>
      </c>
      <c r="F69" s="20" t="str">
        <f aca="false">"Q"&amp;ROUNDUP(MONTH(Sales[[#This Row],[Date]])/3,0)</f>
        <v>Q2</v>
      </c>
    </row>
    <row r="70" customFormat="false" ht="14.25" hidden="false" customHeight="true" outlineLevel="0" collapsed="false">
      <c r="A70" s="24" t="n">
        <v>45823</v>
      </c>
      <c r="B70" s="20" t="s">
        <v>71</v>
      </c>
      <c r="C70" s="20" t="s">
        <v>78</v>
      </c>
      <c r="D70" s="20" t="n">
        <v>15</v>
      </c>
      <c r="E70" s="21" t="n">
        <f aca="false">Sales[[#This Row],[Units]]*_xlfn.XLOOKUP(Sales[[#This Row],[Product]],Prices[Product],Prices[Price])</f>
        <v>5985</v>
      </c>
      <c r="F70" s="20" t="str">
        <f aca="false">"Q"&amp;ROUNDUP(MONTH(Sales[[#This Row],[Date]])/3,0)</f>
        <v>Q2</v>
      </c>
    </row>
    <row r="71" customFormat="false" ht="14.25" hidden="false" customHeight="true" outlineLevel="0" collapsed="false">
      <c r="A71" s="24" t="n">
        <v>45823</v>
      </c>
      <c r="B71" s="20" t="s">
        <v>72</v>
      </c>
      <c r="C71" s="20" t="s">
        <v>76</v>
      </c>
      <c r="D71" s="20" t="n">
        <v>199</v>
      </c>
      <c r="E71" s="21" t="n">
        <f aca="false">Sales[[#This Row],[Units]]*_xlfn.XLOOKUP(Sales[[#This Row],[Product]],Prices[Product],Prices[Price])</f>
        <v>9751</v>
      </c>
      <c r="F71" s="20" t="str">
        <f aca="false">"Q"&amp;ROUNDUP(MONTH(Sales[[#This Row],[Date]])/3,0)</f>
        <v>Q2</v>
      </c>
    </row>
    <row r="72" customFormat="false" ht="14.25" hidden="false" customHeight="true" outlineLevel="0" collapsed="false">
      <c r="A72" s="24" t="n">
        <v>45823</v>
      </c>
      <c r="B72" s="20" t="s">
        <v>72</v>
      </c>
      <c r="C72" s="20" t="s">
        <v>77</v>
      </c>
      <c r="D72" s="20" t="n">
        <v>98</v>
      </c>
      <c r="E72" s="21" t="n">
        <f aca="false">Sales[[#This Row],[Units]]*_xlfn.XLOOKUP(Sales[[#This Row],[Product]],Prices[Product],Prices[Price])</f>
        <v>12642</v>
      </c>
      <c r="F72" s="20" t="str">
        <f aca="false">"Q"&amp;ROUNDUP(MONTH(Sales[[#This Row],[Date]])/3,0)</f>
        <v>Q2</v>
      </c>
    </row>
    <row r="73" customFormat="false" ht="14.25" hidden="false" customHeight="true" outlineLevel="0" collapsed="false">
      <c r="A73" s="24" t="n">
        <v>45823</v>
      </c>
      <c r="B73" s="20" t="s">
        <v>72</v>
      </c>
      <c r="C73" s="20" t="s">
        <v>78</v>
      </c>
      <c r="D73" s="20" t="n">
        <v>28</v>
      </c>
      <c r="E73" s="21" t="n">
        <f aca="false">Sales[[#This Row],[Units]]*_xlfn.XLOOKUP(Sales[[#This Row],[Product]],Prices[Product],Prices[Price])</f>
        <v>11172</v>
      </c>
      <c r="F73" s="20" t="str">
        <f aca="false">"Q"&amp;ROUNDUP(MONTH(Sales[[#This Row],[Date]])/3,0)</f>
        <v>Q2</v>
      </c>
    </row>
    <row r="74" customFormat="false" ht="14.25" hidden="false" customHeight="true" outlineLevel="0" collapsed="false">
      <c r="A74" s="24" t="n">
        <v>45853</v>
      </c>
      <c r="B74" s="20" t="s">
        <v>69</v>
      </c>
      <c r="C74" s="20" t="s">
        <v>76</v>
      </c>
      <c r="D74" s="20" t="n">
        <v>180</v>
      </c>
      <c r="E74" s="21" t="n">
        <f aca="false">Sales[[#This Row],[Units]]*_xlfn.XLOOKUP(Sales[[#This Row],[Product]],Prices[Product],Prices[Price])</f>
        <v>8820</v>
      </c>
      <c r="F74" s="20" t="str">
        <f aca="false">"Q"&amp;ROUNDUP(MONTH(Sales[[#This Row],[Date]])/3,0)</f>
        <v>Q3</v>
      </c>
    </row>
    <row r="75" customFormat="false" ht="14.25" hidden="false" customHeight="true" outlineLevel="0" collapsed="false">
      <c r="A75" s="24" t="n">
        <v>45853</v>
      </c>
      <c r="B75" s="20" t="s">
        <v>69</v>
      </c>
      <c r="C75" s="20" t="s">
        <v>77</v>
      </c>
      <c r="D75" s="20" t="n">
        <v>78</v>
      </c>
      <c r="E75" s="21" t="n">
        <f aca="false">Sales[[#This Row],[Units]]*_xlfn.XLOOKUP(Sales[[#This Row],[Product]],Prices[Product],Prices[Price])</f>
        <v>10062</v>
      </c>
      <c r="F75" s="20" t="str">
        <f aca="false">"Q"&amp;ROUNDUP(MONTH(Sales[[#This Row],[Date]])/3,0)</f>
        <v>Q3</v>
      </c>
    </row>
    <row r="76" customFormat="false" ht="14.25" hidden="false" customHeight="true" outlineLevel="0" collapsed="false">
      <c r="A76" s="24" t="n">
        <v>45853</v>
      </c>
      <c r="B76" s="20" t="s">
        <v>69</v>
      </c>
      <c r="C76" s="20" t="s">
        <v>78</v>
      </c>
      <c r="D76" s="20" t="n">
        <v>19</v>
      </c>
      <c r="E76" s="21" t="n">
        <f aca="false">Sales[[#This Row],[Units]]*_xlfn.XLOOKUP(Sales[[#This Row],[Product]],Prices[Product],Prices[Price])</f>
        <v>7581</v>
      </c>
      <c r="F76" s="20" t="str">
        <f aca="false">"Q"&amp;ROUNDUP(MONTH(Sales[[#This Row],[Date]])/3,0)</f>
        <v>Q3</v>
      </c>
    </row>
    <row r="77" customFormat="false" ht="14.25" hidden="false" customHeight="true" outlineLevel="0" collapsed="false">
      <c r="A77" s="24" t="n">
        <v>45853</v>
      </c>
      <c r="B77" s="20" t="s">
        <v>70</v>
      </c>
      <c r="C77" s="20" t="s">
        <v>76</v>
      </c>
      <c r="D77" s="20" t="n">
        <v>123</v>
      </c>
      <c r="E77" s="21" t="n">
        <f aca="false">Sales[[#This Row],[Units]]*_xlfn.XLOOKUP(Sales[[#This Row],[Product]],Prices[Product],Prices[Price])</f>
        <v>6027</v>
      </c>
      <c r="F77" s="20" t="str">
        <f aca="false">"Q"&amp;ROUNDUP(MONTH(Sales[[#This Row],[Date]])/3,0)</f>
        <v>Q3</v>
      </c>
    </row>
    <row r="78" customFormat="false" ht="14.25" hidden="false" customHeight="true" outlineLevel="0" collapsed="false">
      <c r="A78" s="24" t="n">
        <v>45853</v>
      </c>
      <c r="B78" s="20" t="s">
        <v>70</v>
      </c>
      <c r="C78" s="20" t="s">
        <v>77</v>
      </c>
      <c r="D78" s="20" t="n">
        <v>77</v>
      </c>
      <c r="E78" s="21" t="n">
        <f aca="false">Sales[[#This Row],[Units]]*_xlfn.XLOOKUP(Sales[[#This Row],[Product]],Prices[Product],Prices[Price])</f>
        <v>9933</v>
      </c>
      <c r="F78" s="20" t="str">
        <f aca="false">"Q"&amp;ROUNDUP(MONTH(Sales[[#This Row],[Date]])/3,0)</f>
        <v>Q3</v>
      </c>
    </row>
    <row r="79" customFormat="false" ht="14.25" hidden="false" customHeight="true" outlineLevel="0" collapsed="false">
      <c r="A79" s="24" t="n">
        <v>45853</v>
      </c>
      <c r="B79" s="20" t="s">
        <v>70</v>
      </c>
      <c r="C79" s="20" t="s">
        <v>78</v>
      </c>
      <c r="D79" s="20" t="n">
        <v>16</v>
      </c>
      <c r="E79" s="21" t="n">
        <f aca="false">Sales[[#This Row],[Units]]*_xlfn.XLOOKUP(Sales[[#This Row],[Product]],Prices[Product],Prices[Price])</f>
        <v>6384</v>
      </c>
      <c r="F79" s="20" t="str">
        <f aca="false">"Q"&amp;ROUNDUP(MONTH(Sales[[#This Row],[Date]])/3,0)</f>
        <v>Q3</v>
      </c>
    </row>
    <row r="80" customFormat="false" ht="14.25" hidden="false" customHeight="true" outlineLevel="0" collapsed="false">
      <c r="A80" s="24" t="n">
        <v>45853</v>
      </c>
      <c r="B80" s="20" t="s">
        <v>71</v>
      </c>
      <c r="C80" s="20" t="s">
        <v>76</v>
      </c>
      <c r="D80" s="20" t="n">
        <v>129</v>
      </c>
      <c r="E80" s="21" t="n">
        <f aca="false">Sales[[#This Row],[Units]]*_xlfn.XLOOKUP(Sales[[#This Row],[Product]],Prices[Product],Prices[Price])</f>
        <v>6321</v>
      </c>
      <c r="F80" s="20" t="str">
        <f aca="false">"Q"&amp;ROUNDUP(MONTH(Sales[[#This Row],[Date]])/3,0)</f>
        <v>Q3</v>
      </c>
    </row>
    <row r="81" customFormat="false" ht="14.25" hidden="false" customHeight="true" outlineLevel="0" collapsed="false">
      <c r="A81" s="24" t="n">
        <v>45853</v>
      </c>
      <c r="B81" s="20" t="s">
        <v>71</v>
      </c>
      <c r="C81" s="20" t="s">
        <v>77</v>
      </c>
      <c r="D81" s="20" t="n">
        <v>72</v>
      </c>
      <c r="E81" s="21" t="n">
        <f aca="false">Sales[[#This Row],[Units]]*_xlfn.XLOOKUP(Sales[[#This Row],[Product]],Prices[Product],Prices[Price])</f>
        <v>9288</v>
      </c>
      <c r="F81" s="20" t="str">
        <f aca="false">"Q"&amp;ROUNDUP(MONTH(Sales[[#This Row],[Date]])/3,0)</f>
        <v>Q3</v>
      </c>
    </row>
    <row r="82" customFormat="false" ht="14.25" hidden="false" customHeight="true" outlineLevel="0" collapsed="false">
      <c r="A82" s="24" t="n">
        <v>45853</v>
      </c>
      <c r="B82" s="20" t="s">
        <v>71</v>
      </c>
      <c r="C82" s="20" t="s">
        <v>78</v>
      </c>
      <c r="D82" s="20" t="n">
        <v>14</v>
      </c>
      <c r="E82" s="21" t="n">
        <f aca="false">Sales[[#This Row],[Units]]*_xlfn.XLOOKUP(Sales[[#This Row],[Product]],Prices[Product],Prices[Price])</f>
        <v>5586</v>
      </c>
      <c r="F82" s="20" t="str">
        <f aca="false">"Q"&amp;ROUNDUP(MONTH(Sales[[#This Row],[Date]])/3,0)</f>
        <v>Q3</v>
      </c>
    </row>
    <row r="83" customFormat="false" ht="14.25" hidden="false" customHeight="true" outlineLevel="0" collapsed="false">
      <c r="A83" s="24" t="n">
        <v>45853</v>
      </c>
      <c r="B83" s="20" t="s">
        <v>72</v>
      </c>
      <c r="C83" s="20" t="s">
        <v>76</v>
      </c>
      <c r="D83" s="20" t="n">
        <v>186</v>
      </c>
      <c r="E83" s="21" t="n">
        <f aca="false">Sales[[#This Row],[Units]]*_xlfn.XLOOKUP(Sales[[#This Row],[Product]],Prices[Product],Prices[Price])</f>
        <v>9114</v>
      </c>
      <c r="F83" s="20" t="str">
        <f aca="false">"Q"&amp;ROUNDUP(MONTH(Sales[[#This Row],[Date]])/3,0)</f>
        <v>Q3</v>
      </c>
    </row>
    <row r="84" customFormat="false" ht="14.25" hidden="false" customHeight="true" outlineLevel="0" collapsed="false">
      <c r="A84" s="24" t="n">
        <v>45853</v>
      </c>
      <c r="B84" s="20" t="s">
        <v>72</v>
      </c>
      <c r="C84" s="20" t="s">
        <v>77</v>
      </c>
      <c r="D84" s="20" t="n">
        <v>79</v>
      </c>
      <c r="E84" s="21" t="n">
        <f aca="false">Sales[[#This Row],[Units]]*_xlfn.XLOOKUP(Sales[[#This Row],[Product]],Prices[Product],Prices[Price])</f>
        <v>10191</v>
      </c>
      <c r="F84" s="20" t="str">
        <f aca="false">"Q"&amp;ROUNDUP(MONTH(Sales[[#This Row],[Date]])/3,0)</f>
        <v>Q3</v>
      </c>
    </row>
    <row r="85" customFormat="false" ht="14.25" hidden="false" customHeight="true" outlineLevel="0" collapsed="false">
      <c r="A85" s="24" t="n">
        <v>45853</v>
      </c>
      <c r="B85" s="20" t="s">
        <v>72</v>
      </c>
      <c r="C85" s="20" t="s">
        <v>78</v>
      </c>
      <c r="D85" s="20" t="n">
        <v>21</v>
      </c>
      <c r="E85" s="21" t="n">
        <f aca="false">Sales[[#This Row],[Units]]*_xlfn.XLOOKUP(Sales[[#This Row],[Product]],Prices[Product],Prices[Price])</f>
        <v>8379</v>
      </c>
      <c r="F85" s="20" t="str">
        <f aca="false">"Q"&amp;ROUNDUP(MONTH(Sales[[#This Row],[Date]])/3,0)</f>
        <v>Q3</v>
      </c>
    </row>
    <row r="86" customFormat="false" ht="14.25" hidden="false" customHeight="true" outlineLevel="0" collapsed="false">
      <c r="A86" s="24" t="n">
        <v>45884</v>
      </c>
      <c r="B86" s="20" t="s">
        <v>69</v>
      </c>
      <c r="C86" s="20" t="s">
        <v>76</v>
      </c>
      <c r="D86" s="20" t="n">
        <v>164</v>
      </c>
      <c r="E86" s="21" t="n">
        <f aca="false">Sales[[#This Row],[Units]]*_xlfn.XLOOKUP(Sales[[#This Row],[Product]],Prices[Product],Prices[Price])</f>
        <v>8036</v>
      </c>
      <c r="F86" s="20" t="str">
        <f aca="false">"Q"&amp;ROUNDUP(MONTH(Sales[[#This Row],[Date]])/3,0)</f>
        <v>Q3</v>
      </c>
    </row>
    <row r="87" customFormat="false" ht="14.25" hidden="false" customHeight="true" outlineLevel="0" collapsed="false">
      <c r="A87" s="24" t="n">
        <v>45884</v>
      </c>
      <c r="B87" s="20" t="s">
        <v>69</v>
      </c>
      <c r="C87" s="20" t="s">
        <v>77</v>
      </c>
      <c r="D87" s="20" t="n">
        <v>90</v>
      </c>
      <c r="E87" s="21" t="n">
        <f aca="false">Sales[[#This Row],[Units]]*_xlfn.XLOOKUP(Sales[[#This Row],[Product]],Prices[Product],Prices[Price])</f>
        <v>11610</v>
      </c>
      <c r="F87" s="20" t="str">
        <f aca="false">"Q"&amp;ROUNDUP(MONTH(Sales[[#This Row],[Date]])/3,0)</f>
        <v>Q3</v>
      </c>
    </row>
    <row r="88" customFormat="false" ht="14.25" hidden="false" customHeight="true" outlineLevel="0" collapsed="false">
      <c r="A88" s="24" t="n">
        <v>45884</v>
      </c>
      <c r="B88" s="20" t="s">
        <v>69</v>
      </c>
      <c r="C88" s="20" t="s">
        <v>78</v>
      </c>
      <c r="D88" s="20" t="n">
        <v>24</v>
      </c>
      <c r="E88" s="21" t="n">
        <f aca="false">Sales[[#This Row],[Units]]*_xlfn.XLOOKUP(Sales[[#This Row],[Product]],Prices[Product],Prices[Price])</f>
        <v>9576</v>
      </c>
      <c r="F88" s="20" t="str">
        <f aca="false">"Q"&amp;ROUNDUP(MONTH(Sales[[#This Row],[Date]])/3,0)</f>
        <v>Q3</v>
      </c>
    </row>
    <row r="89" customFormat="false" ht="14.25" hidden="false" customHeight="true" outlineLevel="0" collapsed="false">
      <c r="A89" s="24" t="n">
        <v>45884</v>
      </c>
      <c r="B89" s="20" t="s">
        <v>70</v>
      </c>
      <c r="C89" s="20" t="s">
        <v>76</v>
      </c>
      <c r="D89" s="20" t="n">
        <v>142</v>
      </c>
      <c r="E89" s="21" t="n">
        <f aca="false">Sales[[#This Row],[Units]]*_xlfn.XLOOKUP(Sales[[#This Row],[Product]],Prices[Product],Prices[Price])</f>
        <v>6958</v>
      </c>
      <c r="F89" s="20" t="str">
        <f aca="false">"Q"&amp;ROUNDUP(MONTH(Sales[[#This Row],[Date]])/3,0)</f>
        <v>Q3</v>
      </c>
    </row>
    <row r="90" customFormat="false" ht="14.25" hidden="false" customHeight="true" outlineLevel="0" collapsed="false">
      <c r="A90" s="24" t="n">
        <v>45884</v>
      </c>
      <c r="B90" s="20" t="s">
        <v>70</v>
      </c>
      <c r="C90" s="20" t="s">
        <v>77</v>
      </c>
      <c r="D90" s="20" t="n">
        <v>73</v>
      </c>
      <c r="E90" s="21" t="n">
        <f aca="false">Sales[[#This Row],[Units]]*_xlfn.XLOOKUP(Sales[[#This Row],[Product]],Prices[Product],Prices[Price])</f>
        <v>9417</v>
      </c>
      <c r="F90" s="20" t="str">
        <f aca="false">"Q"&amp;ROUNDUP(MONTH(Sales[[#This Row],[Date]])/3,0)</f>
        <v>Q3</v>
      </c>
    </row>
    <row r="91" customFormat="false" ht="14.25" hidden="false" customHeight="true" outlineLevel="0" collapsed="false">
      <c r="A91" s="24" t="n">
        <v>45884</v>
      </c>
      <c r="B91" s="20" t="s">
        <v>70</v>
      </c>
      <c r="C91" s="20" t="s">
        <v>78</v>
      </c>
      <c r="D91" s="20" t="n">
        <v>18</v>
      </c>
      <c r="E91" s="21" t="n">
        <f aca="false">Sales[[#This Row],[Units]]*_xlfn.XLOOKUP(Sales[[#This Row],[Product]],Prices[Product],Prices[Price])</f>
        <v>7182</v>
      </c>
      <c r="F91" s="20" t="str">
        <f aca="false">"Q"&amp;ROUNDUP(MONTH(Sales[[#This Row],[Date]])/3,0)</f>
        <v>Q3</v>
      </c>
    </row>
    <row r="92" customFormat="false" ht="14.25" hidden="false" customHeight="true" outlineLevel="0" collapsed="false">
      <c r="A92" s="24" t="n">
        <v>45884</v>
      </c>
      <c r="B92" s="20" t="s">
        <v>71</v>
      </c>
      <c r="C92" s="20" t="s">
        <v>76</v>
      </c>
      <c r="D92" s="20" t="n">
        <v>154</v>
      </c>
      <c r="E92" s="21" t="n">
        <f aca="false">Sales[[#This Row],[Units]]*_xlfn.XLOOKUP(Sales[[#This Row],[Product]],Prices[Product],Prices[Price])</f>
        <v>7546</v>
      </c>
      <c r="F92" s="20" t="str">
        <f aca="false">"Q"&amp;ROUNDUP(MONTH(Sales[[#This Row],[Date]])/3,0)</f>
        <v>Q3</v>
      </c>
    </row>
    <row r="93" customFormat="false" ht="14.25" hidden="false" customHeight="true" outlineLevel="0" collapsed="false">
      <c r="A93" s="24" t="n">
        <v>45884</v>
      </c>
      <c r="B93" s="20" t="s">
        <v>71</v>
      </c>
      <c r="C93" s="20" t="s">
        <v>77</v>
      </c>
      <c r="D93" s="20" t="n">
        <v>75</v>
      </c>
      <c r="E93" s="21" t="n">
        <f aca="false">Sales[[#This Row],[Units]]*_xlfn.XLOOKUP(Sales[[#This Row],[Product]],Prices[Product],Prices[Price])</f>
        <v>9675</v>
      </c>
      <c r="F93" s="20" t="str">
        <f aca="false">"Q"&amp;ROUNDUP(MONTH(Sales[[#This Row],[Date]])/3,0)</f>
        <v>Q3</v>
      </c>
    </row>
    <row r="94" customFormat="false" ht="14.25" hidden="false" customHeight="true" outlineLevel="0" collapsed="false">
      <c r="A94" s="24" t="n">
        <v>45884</v>
      </c>
      <c r="B94" s="20" t="s">
        <v>71</v>
      </c>
      <c r="C94" s="20" t="s">
        <v>78</v>
      </c>
      <c r="D94" s="20" t="n">
        <v>17</v>
      </c>
      <c r="E94" s="21" t="n">
        <f aca="false">Sales[[#This Row],[Units]]*_xlfn.XLOOKUP(Sales[[#This Row],[Product]],Prices[Product],Prices[Price])</f>
        <v>6783</v>
      </c>
      <c r="F94" s="20" t="str">
        <f aca="false">"Q"&amp;ROUNDUP(MONTH(Sales[[#This Row],[Date]])/3,0)</f>
        <v>Q3</v>
      </c>
    </row>
    <row r="95" customFormat="false" ht="14.25" hidden="false" customHeight="true" outlineLevel="0" collapsed="false">
      <c r="A95" s="24" t="n">
        <v>45884</v>
      </c>
      <c r="B95" s="20" t="s">
        <v>72</v>
      </c>
      <c r="C95" s="20" t="s">
        <v>76</v>
      </c>
      <c r="D95" s="20" t="n">
        <v>179</v>
      </c>
      <c r="E95" s="21" t="n">
        <f aca="false">Sales[[#This Row],[Units]]*_xlfn.XLOOKUP(Sales[[#This Row],[Product]],Prices[Product],Prices[Price])</f>
        <v>8771</v>
      </c>
      <c r="F95" s="20" t="str">
        <f aca="false">"Q"&amp;ROUNDUP(MONTH(Sales[[#This Row],[Date]])/3,0)</f>
        <v>Q3</v>
      </c>
    </row>
    <row r="96" customFormat="false" ht="14.25" hidden="false" customHeight="true" outlineLevel="0" collapsed="false">
      <c r="A96" s="24" t="n">
        <v>45884</v>
      </c>
      <c r="B96" s="20" t="s">
        <v>72</v>
      </c>
      <c r="C96" s="20" t="s">
        <v>77</v>
      </c>
      <c r="D96" s="20" t="n">
        <v>107</v>
      </c>
      <c r="E96" s="21" t="n">
        <f aca="false">Sales[[#This Row],[Units]]*_xlfn.XLOOKUP(Sales[[#This Row],[Product]],Prices[Product],Prices[Price])</f>
        <v>13803</v>
      </c>
      <c r="F96" s="20" t="str">
        <f aca="false">"Q"&amp;ROUNDUP(MONTH(Sales[[#This Row],[Date]])/3,0)</f>
        <v>Q3</v>
      </c>
    </row>
    <row r="97" customFormat="false" ht="14.25" hidden="false" customHeight="true" outlineLevel="0" collapsed="false">
      <c r="A97" s="24" t="n">
        <v>45884</v>
      </c>
      <c r="B97" s="20" t="s">
        <v>72</v>
      </c>
      <c r="C97" s="20" t="s">
        <v>78</v>
      </c>
      <c r="D97" s="20" t="n">
        <v>25</v>
      </c>
      <c r="E97" s="21" t="n">
        <f aca="false">Sales[[#This Row],[Units]]*_xlfn.XLOOKUP(Sales[[#This Row],[Product]],Prices[Product],Prices[Price])</f>
        <v>9975</v>
      </c>
      <c r="F97" s="20" t="str">
        <f aca="false">"Q"&amp;ROUNDUP(MONTH(Sales[[#This Row],[Date]])/3,0)</f>
        <v>Q3</v>
      </c>
    </row>
    <row r="98" customFormat="false" ht="14.25" hidden="false" customHeight="true" outlineLevel="0" collapsed="false">
      <c r="A98" s="24" t="n">
        <v>45915</v>
      </c>
      <c r="B98" s="20" t="s">
        <v>69</v>
      </c>
      <c r="C98" s="20" t="s">
        <v>76</v>
      </c>
      <c r="D98" s="20" t="n">
        <v>201</v>
      </c>
      <c r="E98" s="21" t="n">
        <f aca="false">Sales[[#This Row],[Units]]*_xlfn.XLOOKUP(Sales[[#This Row],[Product]],Prices[Product],Prices[Price])</f>
        <v>9849</v>
      </c>
      <c r="F98" s="20" t="str">
        <f aca="false">"Q"&amp;ROUNDUP(MONTH(Sales[[#This Row],[Date]])/3,0)</f>
        <v>Q3</v>
      </c>
    </row>
    <row r="99" customFormat="false" ht="14.25" hidden="false" customHeight="true" outlineLevel="0" collapsed="false">
      <c r="A99" s="24" t="n">
        <v>45915</v>
      </c>
      <c r="B99" s="20" t="s">
        <v>69</v>
      </c>
      <c r="C99" s="20" t="s">
        <v>77</v>
      </c>
      <c r="D99" s="20" t="n">
        <v>89</v>
      </c>
      <c r="E99" s="21" t="n">
        <f aca="false">Sales[[#This Row],[Units]]*_xlfn.XLOOKUP(Sales[[#This Row],[Product]],Prices[Product],Prices[Price])</f>
        <v>11481</v>
      </c>
      <c r="F99" s="20" t="str">
        <f aca="false">"Q"&amp;ROUNDUP(MONTH(Sales[[#This Row],[Date]])/3,0)</f>
        <v>Q3</v>
      </c>
    </row>
    <row r="100" customFormat="false" ht="14.25" hidden="false" customHeight="true" outlineLevel="0" collapsed="false">
      <c r="A100" s="24" t="n">
        <v>45915</v>
      </c>
      <c r="B100" s="20" t="s">
        <v>69</v>
      </c>
      <c r="C100" s="20" t="s">
        <v>78</v>
      </c>
      <c r="D100" s="20" t="n">
        <v>26</v>
      </c>
      <c r="E100" s="21" t="n">
        <f aca="false">Sales[[#This Row],[Units]]*_xlfn.XLOOKUP(Sales[[#This Row],[Product]],Prices[Product],Prices[Price])</f>
        <v>10374</v>
      </c>
      <c r="F100" s="20" t="str">
        <f aca="false">"Q"&amp;ROUNDUP(MONTH(Sales[[#This Row],[Date]])/3,0)</f>
        <v>Q3</v>
      </c>
    </row>
    <row r="101" customFormat="false" ht="14.25" hidden="false" customHeight="true" outlineLevel="0" collapsed="false">
      <c r="A101" s="24" t="n">
        <v>45915</v>
      </c>
      <c r="B101" s="20" t="s">
        <v>70</v>
      </c>
      <c r="C101" s="20" t="s">
        <v>76</v>
      </c>
      <c r="D101" s="20" t="n">
        <v>140</v>
      </c>
      <c r="E101" s="21" t="n">
        <f aca="false">Sales[[#This Row],[Units]]*_xlfn.XLOOKUP(Sales[[#This Row],[Product]],Prices[Product],Prices[Price])</f>
        <v>6860</v>
      </c>
      <c r="F101" s="20" t="str">
        <f aca="false">"Q"&amp;ROUNDUP(MONTH(Sales[[#This Row],[Date]])/3,0)</f>
        <v>Q3</v>
      </c>
    </row>
    <row r="102" customFormat="false" ht="14.25" hidden="false" customHeight="true" outlineLevel="0" collapsed="false">
      <c r="A102" s="24" t="n">
        <v>45915</v>
      </c>
      <c r="B102" s="20" t="s">
        <v>70</v>
      </c>
      <c r="C102" s="20" t="s">
        <v>77</v>
      </c>
      <c r="D102" s="20" t="n">
        <v>87</v>
      </c>
      <c r="E102" s="21" t="n">
        <f aca="false">Sales[[#This Row],[Units]]*_xlfn.XLOOKUP(Sales[[#This Row],[Product]],Prices[Product],Prices[Price])</f>
        <v>11223</v>
      </c>
      <c r="F102" s="20" t="str">
        <f aca="false">"Q"&amp;ROUNDUP(MONTH(Sales[[#This Row],[Date]])/3,0)</f>
        <v>Q3</v>
      </c>
    </row>
    <row r="103" customFormat="false" ht="14.25" hidden="false" customHeight="true" outlineLevel="0" collapsed="false">
      <c r="A103" s="24" t="n">
        <v>45915</v>
      </c>
      <c r="B103" s="20" t="s">
        <v>70</v>
      </c>
      <c r="C103" s="20" t="s">
        <v>78</v>
      </c>
      <c r="D103" s="20" t="n">
        <v>18</v>
      </c>
      <c r="E103" s="21" t="n">
        <f aca="false">Sales[[#This Row],[Units]]*_xlfn.XLOOKUP(Sales[[#This Row],[Product]],Prices[Product],Prices[Price])</f>
        <v>7182</v>
      </c>
      <c r="F103" s="20" t="str">
        <f aca="false">"Q"&amp;ROUNDUP(MONTH(Sales[[#This Row],[Date]])/3,0)</f>
        <v>Q3</v>
      </c>
    </row>
    <row r="104" customFormat="false" ht="14.25" hidden="false" customHeight="true" outlineLevel="0" collapsed="false">
      <c r="A104" s="24" t="n">
        <v>45915</v>
      </c>
      <c r="B104" s="20" t="s">
        <v>71</v>
      </c>
      <c r="C104" s="20" t="s">
        <v>76</v>
      </c>
      <c r="D104" s="20" t="n">
        <v>129</v>
      </c>
      <c r="E104" s="21" t="n">
        <f aca="false">Sales[[#This Row],[Units]]*_xlfn.XLOOKUP(Sales[[#This Row],[Product]],Prices[Product],Prices[Price])</f>
        <v>6321</v>
      </c>
      <c r="F104" s="20" t="str">
        <f aca="false">"Q"&amp;ROUNDUP(MONTH(Sales[[#This Row],[Date]])/3,0)</f>
        <v>Q3</v>
      </c>
    </row>
    <row r="105" customFormat="false" ht="14.25" hidden="false" customHeight="true" outlineLevel="0" collapsed="false">
      <c r="A105" s="24" t="n">
        <v>45915</v>
      </c>
      <c r="B105" s="20" t="s">
        <v>71</v>
      </c>
      <c r="C105" s="20" t="s">
        <v>77</v>
      </c>
      <c r="D105" s="20" t="n">
        <v>59</v>
      </c>
      <c r="E105" s="21" t="n">
        <f aca="false">Sales[[#This Row],[Units]]*_xlfn.XLOOKUP(Sales[[#This Row],[Product]],Prices[Product],Prices[Price])</f>
        <v>7611</v>
      </c>
      <c r="F105" s="20" t="str">
        <f aca="false">"Q"&amp;ROUNDUP(MONTH(Sales[[#This Row],[Date]])/3,0)</f>
        <v>Q3</v>
      </c>
    </row>
    <row r="106" customFormat="false" ht="14.25" hidden="false" customHeight="true" outlineLevel="0" collapsed="false">
      <c r="A106" s="24" t="n">
        <v>45915</v>
      </c>
      <c r="B106" s="20" t="s">
        <v>71</v>
      </c>
      <c r="C106" s="20" t="s">
        <v>78</v>
      </c>
      <c r="D106" s="20" t="n">
        <v>17</v>
      </c>
      <c r="E106" s="21" t="n">
        <f aca="false">Sales[[#This Row],[Units]]*_xlfn.XLOOKUP(Sales[[#This Row],[Product]],Prices[Product],Prices[Price])</f>
        <v>6783</v>
      </c>
      <c r="F106" s="20" t="str">
        <f aca="false">"Q"&amp;ROUNDUP(MONTH(Sales[[#This Row],[Date]])/3,0)</f>
        <v>Q3</v>
      </c>
    </row>
    <row r="107" customFormat="false" ht="14.25" hidden="false" customHeight="true" outlineLevel="0" collapsed="false">
      <c r="A107" s="24" t="n">
        <v>45915</v>
      </c>
      <c r="B107" s="20" t="s">
        <v>72</v>
      </c>
      <c r="C107" s="20" t="s">
        <v>76</v>
      </c>
      <c r="D107" s="20" t="n">
        <v>229</v>
      </c>
      <c r="E107" s="21" t="n">
        <f aca="false">Sales[[#This Row],[Units]]*_xlfn.XLOOKUP(Sales[[#This Row],[Product]],Prices[Product],Prices[Price])</f>
        <v>11221</v>
      </c>
      <c r="F107" s="20" t="str">
        <f aca="false">"Q"&amp;ROUNDUP(MONTH(Sales[[#This Row],[Date]])/3,0)</f>
        <v>Q3</v>
      </c>
    </row>
    <row r="108" customFormat="false" ht="14.25" hidden="false" customHeight="true" outlineLevel="0" collapsed="false">
      <c r="A108" s="24" t="n">
        <v>45915</v>
      </c>
      <c r="B108" s="20" t="s">
        <v>72</v>
      </c>
      <c r="C108" s="20" t="s">
        <v>77</v>
      </c>
      <c r="D108" s="20" t="n">
        <v>109</v>
      </c>
      <c r="E108" s="21" t="n">
        <f aca="false">Sales[[#This Row],[Units]]*_xlfn.XLOOKUP(Sales[[#This Row],[Product]],Prices[Product],Prices[Price])</f>
        <v>14061</v>
      </c>
      <c r="F108" s="20" t="str">
        <f aca="false">"Q"&amp;ROUNDUP(MONTH(Sales[[#This Row],[Date]])/3,0)</f>
        <v>Q3</v>
      </c>
    </row>
    <row r="109" customFormat="false" ht="14.25" hidden="false" customHeight="true" outlineLevel="0" collapsed="false">
      <c r="A109" s="24" t="n">
        <v>45915</v>
      </c>
      <c r="B109" s="20" t="s">
        <v>72</v>
      </c>
      <c r="C109" s="20" t="s">
        <v>78</v>
      </c>
      <c r="D109" s="20" t="n">
        <v>27</v>
      </c>
      <c r="E109" s="21" t="n">
        <f aca="false">Sales[[#This Row],[Units]]*_xlfn.XLOOKUP(Sales[[#This Row],[Product]],Prices[Product],Prices[Price])</f>
        <v>10773</v>
      </c>
      <c r="F109" s="20" t="str">
        <f aca="false">"Q"&amp;ROUNDUP(MONTH(Sales[[#This Row],[Date]])/3,0)</f>
        <v>Q3</v>
      </c>
    </row>
    <row r="110" customFormat="false" ht="14.25" hidden="false" customHeight="true" outlineLevel="0" collapsed="false">
      <c r="A110" s="24" t="n">
        <v>45945</v>
      </c>
      <c r="B110" s="20" t="s">
        <v>69</v>
      </c>
      <c r="C110" s="20" t="s">
        <v>76</v>
      </c>
      <c r="D110" s="20" t="n">
        <v>142</v>
      </c>
      <c r="E110" s="21" t="n">
        <f aca="false">Sales[[#This Row],[Units]]*_xlfn.XLOOKUP(Sales[[#This Row],[Product]],Prices[Product],Prices[Price])</f>
        <v>6958</v>
      </c>
      <c r="F110" s="20" t="str">
        <f aca="false">"Q"&amp;ROUNDUP(MONTH(Sales[[#This Row],[Date]])/3,0)</f>
        <v>Q4</v>
      </c>
    </row>
    <row r="111" customFormat="false" ht="14.25" hidden="false" customHeight="true" outlineLevel="0" collapsed="false">
      <c r="A111" s="24" t="n">
        <v>45945</v>
      </c>
      <c r="B111" s="20" t="s">
        <v>69</v>
      </c>
      <c r="C111" s="20" t="s">
        <v>77</v>
      </c>
      <c r="D111" s="20" t="n">
        <v>98</v>
      </c>
      <c r="E111" s="21" t="n">
        <f aca="false">Sales[[#This Row],[Units]]*_xlfn.XLOOKUP(Sales[[#This Row],[Product]],Prices[Product],Prices[Price])</f>
        <v>12642</v>
      </c>
      <c r="F111" s="20" t="str">
        <f aca="false">"Q"&amp;ROUNDUP(MONTH(Sales[[#This Row],[Date]])/3,0)</f>
        <v>Q4</v>
      </c>
    </row>
    <row r="112" customFormat="false" ht="14.25" hidden="false" customHeight="true" outlineLevel="0" collapsed="false">
      <c r="A112" s="24" t="n">
        <v>45945</v>
      </c>
      <c r="B112" s="20" t="s">
        <v>69</v>
      </c>
      <c r="C112" s="20" t="s">
        <v>78</v>
      </c>
      <c r="D112" s="20" t="n">
        <v>24</v>
      </c>
      <c r="E112" s="21" t="n">
        <f aca="false">Sales[[#This Row],[Units]]*_xlfn.XLOOKUP(Sales[[#This Row],[Product]],Prices[Product],Prices[Price])</f>
        <v>9576</v>
      </c>
      <c r="F112" s="20" t="str">
        <f aca="false">"Q"&amp;ROUNDUP(MONTH(Sales[[#This Row],[Date]])/3,0)</f>
        <v>Q4</v>
      </c>
    </row>
    <row r="113" customFormat="false" ht="14.25" hidden="false" customHeight="true" outlineLevel="0" collapsed="false">
      <c r="A113" s="24" t="n">
        <v>45945</v>
      </c>
      <c r="B113" s="20" t="s">
        <v>70</v>
      </c>
      <c r="C113" s="20" t="s">
        <v>76</v>
      </c>
      <c r="D113" s="20" t="n">
        <v>141</v>
      </c>
      <c r="E113" s="21" t="n">
        <f aca="false">Sales[[#This Row],[Units]]*_xlfn.XLOOKUP(Sales[[#This Row],[Product]],Prices[Product],Prices[Price])</f>
        <v>6909</v>
      </c>
      <c r="F113" s="20" t="str">
        <f aca="false">"Q"&amp;ROUNDUP(MONTH(Sales[[#This Row],[Date]])/3,0)</f>
        <v>Q4</v>
      </c>
    </row>
    <row r="114" customFormat="false" ht="14.25" hidden="false" customHeight="true" outlineLevel="0" collapsed="false">
      <c r="A114" s="24" t="n">
        <v>45945</v>
      </c>
      <c r="B114" s="20" t="s">
        <v>70</v>
      </c>
      <c r="C114" s="20" t="s">
        <v>77</v>
      </c>
      <c r="D114" s="20" t="n">
        <v>69</v>
      </c>
      <c r="E114" s="21" t="n">
        <f aca="false">Sales[[#This Row],[Units]]*_xlfn.XLOOKUP(Sales[[#This Row],[Product]],Prices[Product],Prices[Price])</f>
        <v>8901</v>
      </c>
      <c r="F114" s="20" t="str">
        <f aca="false">"Q"&amp;ROUNDUP(MONTH(Sales[[#This Row],[Date]])/3,0)</f>
        <v>Q4</v>
      </c>
    </row>
    <row r="115" customFormat="false" ht="14.25" hidden="false" customHeight="true" outlineLevel="0" collapsed="false">
      <c r="A115" s="24" t="n">
        <v>45945</v>
      </c>
      <c r="B115" s="20" t="s">
        <v>70</v>
      </c>
      <c r="C115" s="20" t="s">
        <v>78</v>
      </c>
      <c r="D115" s="20" t="n">
        <v>18</v>
      </c>
      <c r="E115" s="21" t="n">
        <f aca="false">Sales[[#This Row],[Units]]*_xlfn.XLOOKUP(Sales[[#This Row],[Product]],Prices[Product],Prices[Price])</f>
        <v>7182</v>
      </c>
      <c r="F115" s="20" t="str">
        <f aca="false">"Q"&amp;ROUNDUP(MONTH(Sales[[#This Row],[Date]])/3,0)</f>
        <v>Q4</v>
      </c>
    </row>
    <row r="116" customFormat="false" ht="14.25" hidden="false" customHeight="true" outlineLevel="0" collapsed="false">
      <c r="A116" s="24" t="n">
        <v>45945</v>
      </c>
      <c r="B116" s="20" t="s">
        <v>71</v>
      </c>
      <c r="C116" s="20" t="s">
        <v>76</v>
      </c>
      <c r="D116" s="20" t="n">
        <v>173</v>
      </c>
      <c r="E116" s="21" t="n">
        <f aca="false">Sales[[#This Row],[Units]]*_xlfn.XLOOKUP(Sales[[#This Row],[Product]],Prices[Product],Prices[Price])</f>
        <v>8477</v>
      </c>
      <c r="F116" s="20" t="str">
        <f aca="false">"Q"&amp;ROUNDUP(MONTH(Sales[[#This Row],[Date]])/3,0)</f>
        <v>Q4</v>
      </c>
    </row>
    <row r="117" customFormat="false" ht="14.25" hidden="false" customHeight="true" outlineLevel="0" collapsed="false">
      <c r="A117" s="24" t="n">
        <v>45945</v>
      </c>
      <c r="B117" s="20" t="s">
        <v>71</v>
      </c>
      <c r="C117" s="20" t="s">
        <v>77</v>
      </c>
      <c r="D117" s="20" t="n">
        <v>61</v>
      </c>
      <c r="E117" s="21" t="n">
        <f aca="false">Sales[[#This Row],[Units]]*_xlfn.XLOOKUP(Sales[[#This Row],[Product]],Prices[Product],Prices[Price])</f>
        <v>7869</v>
      </c>
      <c r="F117" s="20" t="str">
        <f aca="false">"Q"&amp;ROUNDUP(MONTH(Sales[[#This Row],[Date]])/3,0)</f>
        <v>Q4</v>
      </c>
    </row>
    <row r="118" customFormat="false" ht="14.25" hidden="false" customHeight="true" outlineLevel="0" collapsed="false">
      <c r="A118" s="24" t="n">
        <v>45945</v>
      </c>
      <c r="B118" s="20" t="s">
        <v>71</v>
      </c>
      <c r="C118" s="20" t="s">
        <v>78</v>
      </c>
      <c r="D118" s="20" t="n">
        <v>16</v>
      </c>
      <c r="E118" s="21" t="n">
        <f aca="false">Sales[[#This Row],[Units]]*_xlfn.XLOOKUP(Sales[[#This Row],[Product]],Prices[Product],Prices[Price])</f>
        <v>6384</v>
      </c>
      <c r="F118" s="20" t="str">
        <f aca="false">"Q"&amp;ROUNDUP(MONTH(Sales[[#This Row],[Date]])/3,0)</f>
        <v>Q4</v>
      </c>
    </row>
    <row r="119" customFormat="false" ht="14.25" hidden="false" customHeight="true" outlineLevel="0" collapsed="false">
      <c r="A119" s="24" t="n">
        <v>45945</v>
      </c>
      <c r="B119" s="20" t="s">
        <v>72</v>
      </c>
      <c r="C119" s="20" t="s">
        <v>76</v>
      </c>
      <c r="D119" s="20" t="n">
        <v>234</v>
      </c>
      <c r="E119" s="21" t="n">
        <f aca="false">Sales[[#This Row],[Units]]*_xlfn.XLOOKUP(Sales[[#This Row],[Product]],Prices[Product],Prices[Price])</f>
        <v>11466</v>
      </c>
      <c r="F119" s="20" t="str">
        <f aca="false">"Q"&amp;ROUNDUP(MONTH(Sales[[#This Row],[Date]])/3,0)</f>
        <v>Q4</v>
      </c>
    </row>
    <row r="120" customFormat="false" ht="14.25" hidden="false" customHeight="true" outlineLevel="0" collapsed="false">
      <c r="A120" s="24" t="n">
        <v>45945</v>
      </c>
      <c r="B120" s="20" t="s">
        <v>72</v>
      </c>
      <c r="C120" s="20" t="s">
        <v>77</v>
      </c>
      <c r="D120" s="20" t="n">
        <v>100</v>
      </c>
      <c r="E120" s="21" t="n">
        <f aca="false">Sales[[#This Row],[Units]]*_xlfn.XLOOKUP(Sales[[#This Row],[Product]],Prices[Product],Prices[Price])</f>
        <v>12900</v>
      </c>
      <c r="F120" s="20" t="str">
        <f aca="false">"Q"&amp;ROUNDUP(MONTH(Sales[[#This Row],[Date]])/3,0)</f>
        <v>Q4</v>
      </c>
    </row>
    <row r="121" customFormat="false" ht="14.25" hidden="false" customHeight="true" outlineLevel="0" collapsed="false">
      <c r="A121" s="24" t="n">
        <v>45945</v>
      </c>
      <c r="B121" s="20" t="s">
        <v>72</v>
      </c>
      <c r="C121" s="20" t="s">
        <v>78</v>
      </c>
      <c r="D121" s="20" t="n">
        <v>25</v>
      </c>
      <c r="E121" s="21" t="n">
        <f aca="false">Sales[[#This Row],[Units]]*_xlfn.XLOOKUP(Sales[[#This Row],[Product]],Prices[Product],Prices[Price])</f>
        <v>9975</v>
      </c>
      <c r="F121" s="20" t="str">
        <f aca="false">"Q"&amp;ROUNDUP(MONTH(Sales[[#This Row],[Date]])/3,0)</f>
        <v>Q4</v>
      </c>
    </row>
    <row r="122" customFormat="false" ht="14.25" hidden="false" customHeight="true" outlineLevel="0" collapsed="false">
      <c r="A122" s="24" t="n">
        <v>45976</v>
      </c>
      <c r="B122" s="20" t="s">
        <v>69</v>
      </c>
      <c r="C122" s="20" t="s">
        <v>76</v>
      </c>
      <c r="D122" s="20" t="n">
        <v>191</v>
      </c>
      <c r="E122" s="21" t="n">
        <f aca="false">Sales[[#This Row],[Units]]*_xlfn.XLOOKUP(Sales[[#This Row],[Product]],Prices[Product],Prices[Price])</f>
        <v>9359</v>
      </c>
      <c r="F122" s="20" t="str">
        <f aca="false">"Q"&amp;ROUNDUP(MONTH(Sales[[#This Row],[Date]])/3,0)</f>
        <v>Q4</v>
      </c>
    </row>
    <row r="123" customFormat="false" ht="14.25" hidden="false" customHeight="true" outlineLevel="0" collapsed="false">
      <c r="A123" s="24" t="n">
        <v>45976</v>
      </c>
      <c r="B123" s="20" t="s">
        <v>69</v>
      </c>
      <c r="C123" s="20" t="s">
        <v>77</v>
      </c>
      <c r="D123" s="20" t="n">
        <v>83</v>
      </c>
      <c r="E123" s="21" t="n">
        <f aca="false">Sales[[#This Row],[Units]]*_xlfn.XLOOKUP(Sales[[#This Row],[Product]],Prices[Product],Prices[Price])</f>
        <v>10707</v>
      </c>
      <c r="F123" s="20" t="str">
        <f aca="false">"Q"&amp;ROUNDUP(MONTH(Sales[[#This Row],[Date]])/3,0)</f>
        <v>Q4</v>
      </c>
    </row>
    <row r="124" customFormat="false" ht="14.25" hidden="false" customHeight="true" outlineLevel="0" collapsed="false">
      <c r="A124" s="24" t="n">
        <v>45976</v>
      </c>
      <c r="B124" s="20" t="s">
        <v>69</v>
      </c>
      <c r="C124" s="20" t="s">
        <v>78</v>
      </c>
      <c r="D124" s="20" t="n">
        <v>24</v>
      </c>
      <c r="E124" s="21" t="n">
        <f aca="false">Sales[[#This Row],[Units]]*_xlfn.XLOOKUP(Sales[[#This Row],[Product]],Prices[Product],Prices[Price])</f>
        <v>9576</v>
      </c>
      <c r="F124" s="20" t="str">
        <f aca="false">"Q"&amp;ROUNDUP(MONTH(Sales[[#This Row],[Date]])/3,0)</f>
        <v>Q4</v>
      </c>
    </row>
    <row r="125" customFormat="false" ht="14.25" hidden="false" customHeight="true" outlineLevel="0" collapsed="false">
      <c r="A125" s="24" t="n">
        <v>45976</v>
      </c>
      <c r="B125" s="20" t="s">
        <v>70</v>
      </c>
      <c r="C125" s="20" t="s">
        <v>76</v>
      </c>
      <c r="D125" s="20" t="n">
        <v>133</v>
      </c>
      <c r="E125" s="21" t="n">
        <f aca="false">Sales[[#This Row],[Units]]*_xlfn.XLOOKUP(Sales[[#This Row],[Product]],Prices[Product],Prices[Price])</f>
        <v>6517</v>
      </c>
      <c r="F125" s="20" t="str">
        <f aca="false">"Q"&amp;ROUNDUP(MONTH(Sales[[#This Row],[Date]])/3,0)</f>
        <v>Q4</v>
      </c>
    </row>
    <row r="126" customFormat="false" ht="14.25" hidden="false" customHeight="true" outlineLevel="0" collapsed="false">
      <c r="A126" s="24" t="n">
        <v>45976</v>
      </c>
      <c r="B126" s="20" t="s">
        <v>70</v>
      </c>
      <c r="C126" s="20" t="s">
        <v>77</v>
      </c>
      <c r="D126" s="20" t="n">
        <v>85</v>
      </c>
      <c r="E126" s="21" t="n">
        <f aca="false">Sales[[#This Row],[Units]]*_xlfn.XLOOKUP(Sales[[#This Row],[Product]],Prices[Product],Prices[Price])</f>
        <v>10965</v>
      </c>
      <c r="F126" s="20" t="str">
        <f aca="false">"Q"&amp;ROUNDUP(MONTH(Sales[[#This Row],[Date]])/3,0)</f>
        <v>Q4</v>
      </c>
    </row>
    <row r="127" customFormat="false" ht="14.25" hidden="false" customHeight="true" outlineLevel="0" collapsed="false">
      <c r="A127" s="24" t="n">
        <v>45976</v>
      </c>
      <c r="B127" s="20" t="s">
        <v>70</v>
      </c>
      <c r="C127" s="20" t="s">
        <v>78</v>
      </c>
      <c r="D127" s="20" t="n">
        <v>19</v>
      </c>
      <c r="E127" s="21" t="n">
        <f aca="false">Sales[[#This Row],[Units]]*_xlfn.XLOOKUP(Sales[[#This Row],[Product]],Prices[Product],Prices[Price])</f>
        <v>7581</v>
      </c>
      <c r="F127" s="20" t="str">
        <f aca="false">"Q"&amp;ROUNDUP(MONTH(Sales[[#This Row],[Date]])/3,0)</f>
        <v>Q4</v>
      </c>
    </row>
    <row r="128" customFormat="false" ht="14.25" hidden="false" customHeight="true" outlineLevel="0" collapsed="false">
      <c r="A128" s="24" t="n">
        <v>45976</v>
      </c>
      <c r="B128" s="20" t="s">
        <v>71</v>
      </c>
      <c r="C128" s="20" t="s">
        <v>76</v>
      </c>
      <c r="D128" s="20" t="n">
        <v>187</v>
      </c>
      <c r="E128" s="21" t="n">
        <f aca="false">Sales[[#This Row],[Units]]*_xlfn.XLOOKUP(Sales[[#This Row],[Product]],Prices[Product],Prices[Price])</f>
        <v>9163</v>
      </c>
      <c r="F128" s="20" t="str">
        <f aca="false">"Q"&amp;ROUNDUP(MONTH(Sales[[#This Row],[Date]])/3,0)</f>
        <v>Q4</v>
      </c>
    </row>
    <row r="129" customFormat="false" ht="14.25" hidden="false" customHeight="true" outlineLevel="0" collapsed="false">
      <c r="A129" s="24" t="n">
        <v>45976</v>
      </c>
      <c r="B129" s="20" t="s">
        <v>71</v>
      </c>
      <c r="C129" s="20" t="s">
        <v>77</v>
      </c>
      <c r="D129" s="20" t="n">
        <v>75</v>
      </c>
      <c r="E129" s="21" t="n">
        <f aca="false">Sales[[#This Row],[Units]]*_xlfn.XLOOKUP(Sales[[#This Row],[Product]],Prices[Product],Prices[Price])</f>
        <v>9675</v>
      </c>
      <c r="F129" s="20" t="str">
        <f aca="false">"Q"&amp;ROUNDUP(MONTH(Sales[[#This Row],[Date]])/3,0)</f>
        <v>Q4</v>
      </c>
    </row>
    <row r="130" customFormat="false" ht="14.25" hidden="false" customHeight="true" outlineLevel="0" collapsed="false">
      <c r="A130" s="24" t="n">
        <v>45976</v>
      </c>
      <c r="B130" s="20" t="s">
        <v>71</v>
      </c>
      <c r="C130" s="20" t="s">
        <v>78</v>
      </c>
      <c r="D130" s="20" t="n">
        <v>21</v>
      </c>
      <c r="E130" s="21" t="n">
        <f aca="false">Sales[[#This Row],[Units]]*_xlfn.XLOOKUP(Sales[[#This Row],[Product]],Prices[Product],Prices[Price])</f>
        <v>8379</v>
      </c>
      <c r="F130" s="20" t="str">
        <f aca="false">"Q"&amp;ROUNDUP(MONTH(Sales[[#This Row],[Date]])/3,0)</f>
        <v>Q4</v>
      </c>
    </row>
    <row r="131" customFormat="false" ht="14.25" hidden="false" customHeight="true" outlineLevel="0" collapsed="false">
      <c r="A131" s="24" t="n">
        <v>45976</v>
      </c>
      <c r="B131" s="20" t="s">
        <v>72</v>
      </c>
      <c r="C131" s="20" t="s">
        <v>76</v>
      </c>
      <c r="D131" s="20" t="n">
        <v>192</v>
      </c>
      <c r="E131" s="21" t="n">
        <f aca="false">Sales[[#This Row],[Units]]*_xlfn.XLOOKUP(Sales[[#This Row],[Product]],Prices[Product],Prices[Price])</f>
        <v>9408</v>
      </c>
      <c r="F131" s="20" t="str">
        <f aca="false">"Q"&amp;ROUNDUP(MONTH(Sales[[#This Row],[Date]])/3,0)</f>
        <v>Q4</v>
      </c>
    </row>
    <row r="132" customFormat="false" ht="14.25" hidden="false" customHeight="true" outlineLevel="0" collapsed="false">
      <c r="A132" s="24" t="n">
        <v>45976</v>
      </c>
      <c r="B132" s="20" t="s">
        <v>72</v>
      </c>
      <c r="C132" s="20" t="s">
        <v>77</v>
      </c>
      <c r="D132" s="20" t="n">
        <v>106</v>
      </c>
      <c r="E132" s="21" t="n">
        <f aca="false">Sales[[#This Row],[Units]]*_xlfn.XLOOKUP(Sales[[#This Row],[Product]],Prices[Product],Prices[Price])</f>
        <v>13674</v>
      </c>
      <c r="F132" s="20" t="str">
        <f aca="false">"Q"&amp;ROUNDUP(MONTH(Sales[[#This Row],[Date]])/3,0)</f>
        <v>Q4</v>
      </c>
    </row>
    <row r="133" customFormat="false" ht="14.25" hidden="false" customHeight="true" outlineLevel="0" collapsed="false">
      <c r="A133" s="24" t="n">
        <v>45976</v>
      </c>
      <c r="B133" s="20" t="s">
        <v>72</v>
      </c>
      <c r="C133" s="20" t="s">
        <v>78</v>
      </c>
      <c r="D133" s="20" t="n">
        <v>27</v>
      </c>
      <c r="E133" s="21" t="n">
        <f aca="false">Sales[[#This Row],[Units]]*_xlfn.XLOOKUP(Sales[[#This Row],[Product]],Prices[Product],Prices[Price])</f>
        <v>10773</v>
      </c>
      <c r="F133" s="20" t="str">
        <f aca="false">"Q"&amp;ROUNDUP(MONTH(Sales[[#This Row],[Date]])/3,0)</f>
        <v>Q4</v>
      </c>
    </row>
    <row r="134" customFormat="false" ht="14.25" hidden="false" customHeight="true" outlineLevel="0" collapsed="false">
      <c r="A134" s="24" t="n">
        <v>46006</v>
      </c>
      <c r="B134" s="20" t="s">
        <v>69</v>
      </c>
      <c r="C134" s="20" t="s">
        <v>76</v>
      </c>
      <c r="D134" s="20" t="n">
        <v>226</v>
      </c>
      <c r="E134" s="21" t="n">
        <f aca="false">Sales[[#This Row],[Units]]*_xlfn.XLOOKUP(Sales[[#This Row],[Product]],Prices[Product],Prices[Price])</f>
        <v>11074</v>
      </c>
      <c r="F134" s="20" t="str">
        <f aca="false">"Q"&amp;ROUNDUP(MONTH(Sales[[#This Row],[Date]])/3,0)</f>
        <v>Q4</v>
      </c>
    </row>
    <row r="135" customFormat="false" ht="14.25" hidden="false" customHeight="true" outlineLevel="0" collapsed="false">
      <c r="A135" s="24" t="n">
        <v>46006</v>
      </c>
      <c r="B135" s="20" t="s">
        <v>69</v>
      </c>
      <c r="C135" s="20" t="s">
        <v>77</v>
      </c>
      <c r="D135" s="20" t="n">
        <v>82</v>
      </c>
      <c r="E135" s="21" t="n">
        <f aca="false">Sales[[#This Row],[Units]]*_xlfn.XLOOKUP(Sales[[#This Row],[Product]],Prices[Product],Prices[Price])</f>
        <v>10578</v>
      </c>
      <c r="F135" s="20" t="str">
        <f aca="false">"Q"&amp;ROUNDUP(MONTH(Sales[[#This Row],[Date]])/3,0)</f>
        <v>Q4</v>
      </c>
    </row>
    <row r="136" customFormat="false" ht="14.25" hidden="false" customHeight="true" outlineLevel="0" collapsed="false">
      <c r="A136" s="24" t="n">
        <v>46006</v>
      </c>
      <c r="B136" s="20" t="s">
        <v>69</v>
      </c>
      <c r="C136" s="20" t="s">
        <v>78</v>
      </c>
      <c r="D136" s="20" t="n">
        <v>26</v>
      </c>
      <c r="E136" s="21" t="n">
        <f aca="false">Sales[[#This Row],[Units]]*_xlfn.XLOOKUP(Sales[[#This Row],[Product]],Prices[Product],Prices[Price])</f>
        <v>10374</v>
      </c>
      <c r="F136" s="20" t="str">
        <f aca="false">"Q"&amp;ROUNDUP(MONTH(Sales[[#This Row],[Date]])/3,0)</f>
        <v>Q4</v>
      </c>
    </row>
    <row r="137" customFormat="false" ht="14.25" hidden="false" customHeight="true" outlineLevel="0" collapsed="false">
      <c r="A137" s="24" t="n">
        <v>46006</v>
      </c>
      <c r="B137" s="20" t="s">
        <v>70</v>
      </c>
      <c r="C137" s="20" t="s">
        <v>76</v>
      </c>
      <c r="D137" s="20" t="n">
        <v>170</v>
      </c>
      <c r="E137" s="21" t="n">
        <f aca="false">Sales[[#This Row],[Units]]*_xlfn.XLOOKUP(Sales[[#This Row],[Product]],Prices[Product],Prices[Price])</f>
        <v>8330</v>
      </c>
      <c r="F137" s="20" t="str">
        <f aca="false">"Q"&amp;ROUNDUP(MONTH(Sales[[#This Row],[Date]])/3,0)</f>
        <v>Q4</v>
      </c>
    </row>
    <row r="138" customFormat="false" ht="14.25" hidden="false" customHeight="true" outlineLevel="0" collapsed="false">
      <c r="A138" s="24" t="n">
        <v>46006</v>
      </c>
      <c r="B138" s="20" t="s">
        <v>70</v>
      </c>
      <c r="C138" s="20" t="s">
        <v>77</v>
      </c>
      <c r="D138" s="20" t="n">
        <v>93</v>
      </c>
      <c r="E138" s="21" t="n">
        <f aca="false">Sales[[#This Row],[Units]]*_xlfn.XLOOKUP(Sales[[#This Row],[Product]],Prices[Product],Prices[Price])</f>
        <v>11997</v>
      </c>
      <c r="F138" s="20" t="str">
        <f aca="false">"Q"&amp;ROUNDUP(MONTH(Sales[[#This Row],[Date]])/3,0)</f>
        <v>Q4</v>
      </c>
    </row>
    <row r="139" customFormat="false" ht="14.25" hidden="false" customHeight="true" outlineLevel="0" collapsed="false">
      <c r="A139" s="24" t="n">
        <v>46006</v>
      </c>
      <c r="B139" s="20" t="s">
        <v>70</v>
      </c>
      <c r="C139" s="20" t="s">
        <v>78</v>
      </c>
      <c r="D139" s="20" t="n">
        <v>21</v>
      </c>
      <c r="E139" s="21" t="n">
        <f aca="false">Sales[[#This Row],[Units]]*_xlfn.XLOOKUP(Sales[[#This Row],[Product]],Prices[Product],Prices[Price])</f>
        <v>8379</v>
      </c>
      <c r="F139" s="20" t="str">
        <f aca="false">"Q"&amp;ROUNDUP(MONTH(Sales[[#This Row],[Date]])/3,0)</f>
        <v>Q4</v>
      </c>
    </row>
    <row r="140" customFormat="false" ht="14.25" hidden="false" customHeight="true" outlineLevel="0" collapsed="false">
      <c r="A140" s="24" t="n">
        <v>46006</v>
      </c>
      <c r="B140" s="20" t="s">
        <v>71</v>
      </c>
      <c r="C140" s="20" t="s">
        <v>76</v>
      </c>
      <c r="D140" s="20" t="n">
        <v>151</v>
      </c>
      <c r="E140" s="21" t="n">
        <f aca="false">Sales[[#This Row],[Units]]*_xlfn.XLOOKUP(Sales[[#This Row],[Product]],Prices[Product],Prices[Price])</f>
        <v>7399</v>
      </c>
      <c r="F140" s="20" t="str">
        <f aca="false">"Q"&amp;ROUNDUP(MONTH(Sales[[#This Row],[Date]])/3,0)</f>
        <v>Q4</v>
      </c>
    </row>
    <row r="141" customFormat="false" ht="14.25" hidden="false" customHeight="true" outlineLevel="0" collapsed="false">
      <c r="A141" s="24" t="n">
        <v>46006</v>
      </c>
      <c r="B141" s="20" t="s">
        <v>71</v>
      </c>
      <c r="C141" s="20" t="s">
        <v>77</v>
      </c>
      <c r="D141" s="20" t="n">
        <v>70</v>
      </c>
      <c r="E141" s="21" t="n">
        <f aca="false">Sales[[#This Row],[Units]]*_xlfn.XLOOKUP(Sales[[#This Row],[Product]],Prices[Product],Prices[Price])</f>
        <v>9030</v>
      </c>
      <c r="F141" s="20" t="str">
        <f aca="false">"Q"&amp;ROUNDUP(MONTH(Sales[[#This Row],[Date]])/3,0)</f>
        <v>Q4</v>
      </c>
    </row>
    <row r="142" customFormat="false" ht="14.25" hidden="false" customHeight="true" outlineLevel="0" collapsed="false">
      <c r="A142" s="24" t="n">
        <v>46006</v>
      </c>
      <c r="B142" s="20" t="s">
        <v>71</v>
      </c>
      <c r="C142" s="20" t="s">
        <v>78</v>
      </c>
      <c r="D142" s="20" t="n">
        <v>16</v>
      </c>
      <c r="E142" s="21" t="n">
        <f aca="false">Sales[[#This Row],[Units]]*_xlfn.XLOOKUP(Sales[[#This Row],[Product]],Prices[Product],Prices[Price])</f>
        <v>6384</v>
      </c>
      <c r="F142" s="20" t="str">
        <f aca="false">"Q"&amp;ROUNDUP(MONTH(Sales[[#This Row],[Date]])/3,0)</f>
        <v>Q4</v>
      </c>
    </row>
    <row r="143" customFormat="false" ht="14.25" hidden="false" customHeight="true" outlineLevel="0" collapsed="false">
      <c r="A143" s="24" t="n">
        <v>46006</v>
      </c>
      <c r="B143" s="20" t="s">
        <v>72</v>
      </c>
      <c r="C143" s="20" t="s">
        <v>76</v>
      </c>
      <c r="D143" s="20" t="n">
        <v>225</v>
      </c>
      <c r="E143" s="21" t="n">
        <f aca="false">Sales[[#This Row],[Units]]*_xlfn.XLOOKUP(Sales[[#This Row],[Product]],Prices[Product],Prices[Price])</f>
        <v>11025</v>
      </c>
      <c r="F143" s="20" t="str">
        <f aca="false">"Q"&amp;ROUNDUP(MONTH(Sales[[#This Row],[Date]])/3,0)</f>
        <v>Q4</v>
      </c>
    </row>
    <row r="144" customFormat="false" ht="14.25" hidden="false" customHeight="true" outlineLevel="0" collapsed="false">
      <c r="A144" s="24" t="n">
        <v>46006</v>
      </c>
      <c r="B144" s="20" t="s">
        <v>72</v>
      </c>
      <c r="C144" s="20" t="s">
        <v>77</v>
      </c>
      <c r="D144" s="20" t="n">
        <v>109</v>
      </c>
      <c r="E144" s="21" t="n">
        <f aca="false">Sales[[#This Row],[Units]]*_xlfn.XLOOKUP(Sales[[#This Row],[Product]],Prices[Product],Prices[Price])</f>
        <v>14061</v>
      </c>
      <c r="F144" s="20" t="str">
        <f aca="false">"Q"&amp;ROUNDUP(MONTH(Sales[[#This Row],[Date]])/3,0)</f>
        <v>Q4</v>
      </c>
    </row>
    <row r="145" customFormat="false" ht="14.25" hidden="false" customHeight="true" outlineLevel="0" collapsed="false">
      <c r="A145" s="24" t="n">
        <v>46006</v>
      </c>
      <c r="B145" s="20" t="s">
        <v>72</v>
      </c>
      <c r="C145" s="20" t="s">
        <v>78</v>
      </c>
      <c r="D145" s="20" t="n">
        <v>32</v>
      </c>
      <c r="E145" s="21" t="n">
        <f aca="false">Sales[[#This Row],[Units]]*_xlfn.XLOOKUP(Sales[[#This Row],[Product]],Prices[Product],Prices[Price])</f>
        <v>12768</v>
      </c>
      <c r="F145" s="20" t="str">
        <f aca="false">"Q"&amp;ROUNDUP(MONTH(Sales[[#This Row],[Date]])/3,0)</f>
        <v>Q4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</cols>
  <sheetData>
    <row r="1" customFormat="false" ht="14.25" hidden="false" customHeight="true" outlineLevel="0" collapsed="false">
      <c r="A1" s="19" t="s">
        <v>74</v>
      </c>
      <c r="B1" s="19" t="s">
        <v>81</v>
      </c>
    </row>
    <row r="2" customFormat="false" ht="14.25" hidden="false" customHeight="true" outlineLevel="0" collapsed="false">
      <c r="A2" s="20" t="s">
        <v>76</v>
      </c>
      <c r="B2" s="21" t="n">
        <v>49</v>
      </c>
    </row>
    <row r="3" customFormat="false" ht="14.25" hidden="false" customHeight="true" outlineLevel="0" collapsed="false">
      <c r="A3" s="20" t="s">
        <v>77</v>
      </c>
      <c r="B3" s="21" t="n">
        <v>129</v>
      </c>
    </row>
    <row r="4" customFormat="false" ht="14.25" hidden="false" customHeight="true" outlineLevel="0" collapsed="false">
      <c r="A4" s="20" t="s">
        <v>78</v>
      </c>
      <c r="B4" s="21" t="n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1"/>
  </cols>
  <sheetData>
    <row r="1" customFormat="false" ht="15" hidden="false" customHeight="true" outlineLevel="0" collapsed="false">
      <c r="A1" s="25" t="s">
        <v>79</v>
      </c>
      <c r="B1" s="25" t="s">
        <v>63</v>
      </c>
      <c r="C1" s="25" t="s">
        <v>74</v>
      </c>
      <c r="D1" s="25" t="s">
        <v>75</v>
      </c>
      <c r="E1" s="25" t="s">
        <v>51</v>
      </c>
      <c r="F1" s="25" t="s">
        <v>82</v>
      </c>
    </row>
    <row r="2" customFormat="false" ht="15" hidden="false" customHeight="true" outlineLevel="0" collapsed="false">
      <c r="A2" s="26" t="n">
        <v>46174</v>
      </c>
      <c r="B2" s="27" t="s">
        <v>71</v>
      </c>
      <c r="C2" s="27" t="s">
        <v>83</v>
      </c>
      <c r="D2" s="28" t="n">
        <v>174</v>
      </c>
      <c r="E2" s="29" t="n">
        <v>5220</v>
      </c>
      <c r="F2" s="29" t="n">
        <v>2377</v>
      </c>
    </row>
    <row r="3" customFormat="false" ht="15" hidden="false" customHeight="true" outlineLevel="0" collapsed="false">
      <c r="A3" s="26" t="n">
        <v>46174</v>
      </c>
      <c r="B3" s="27" t="s">
        <v>71</v>
      </c>
      <c r="C3" s="27" t="s">
        <v>84</v>
      </c>
      <c r="D3" s="28" t="n">
        <v>112</v>
      </c>
      <c r="E3" s="29" t="n">
        <v>1680</v>
      </c>
      <c r="F3" s="29" t="n">
        <v>864</v>
      </c>
    </row>
    <row r="4" customFormat="false" ht="15" hidden="false" customHeight="true" outlineLevel="0" collapsed="false">
      <c r="A4" s="26" t="n">
        <v>46174</v>
      </c>
      <c r="B4" s="27" t="s">
        <v>69</v>
      </c>
      <c r="C4" s="27" t="s">
        <v>83</v>
      </c>
      <c r="D4" s="28" t="n">
        <v>516</v>
      </c>
      <c r="E4" s="29" t="n">
        <v>15480</v>
      </c>
      <c r="F4" s="29" t="n">
        <v>7740</v>
      </c>
    </row>
    <row r="5" customFormat="false" ht="15" hidden="false" customHeight="true" outlineLevel="0" collapsed="false">
      <c r="A5" s="26" t="n">
        <v>46174</v>
      </c>
      <c r="B5" s="27" t="s">
        <v>69</v>
      </c>
      <c r="C5" s="27" t="s">
        <v>85</v>
      </c>
      <c r="D5" s="28" t="n">
        <v>362</v>
      </c>
      <c r="E5" s="29" t="n">
        <v>5068</v>
      </c>
      <c r="F5" s="29" t="n">
        <v>2465</v>
      </c>
    </row>
    <row r="6" customFormat="false" ht="15" hidden="false" customHeight="true" outlineLevel="0" collapsed="false">
      <c r="A6" s="26" t="n">
        <v>46175</v>
      </c>
      <c r="B6" s="27" t="s">
        <v>71</v>
      </c>
      <c r="C6" s="27" t="s">
        <v>85</v>
      </c>
      <c r="D6" s="28" t="n">
        <v>179</v>
      </c>
      <c r="E6" s="29" t="n">
        <v>2506</v>
      </c>
      <c r="F6" s="29" t="n">
        <v>1242</v>
      </c>
    </row>
    <row r="7" customFormat="false" ht="15" hidden="false" customHeight="true" outlineLevel="0" collapsed="false">
      <c r="A7" s="26" t="n">
        <v>46175</v>
      </c>
      <c r="B7" s="27" t="s">
        <v>69</v>
      </c>
      <c r="C7" s="27" t="s">
        <v>86</v>
      </c>
      <c r="D7" s="28" t="n">
        <v>73</v>
      </c>
      <c r="E7" s="29" t="n">
        <v>1241</v>
      </c>
      <c r="F7" s="29" t="n">
        <v>623</v>
      </c>
    </row>
    <row r="8" customFormat="false" ht="15" hidden="false" customHeight="true" outlineLevel="0" collapsed="false">
      <c r="A8" s="26" t="n">
        <v>46176</v>
      </c>
      <c r="B8" s="27" t="s">
        <v>72</v>
      </c>
      <c r="C8" s="27" t="s">
        <v>85</v>
      </c>
      <c r="D8" s="28" t="n">
        <v>361</v>
      </c>
      <c r="E8" s="29" t="n">
        <v>5054</v>
      </c>
      <c r="F8" s="29" t="n">
        <v>2378</v>
      </c>
    </row>
    <row r="9" customFormat="false" ht="15" hidden="false" customHeight="true" outlineLevel="0" collapsed="false">
      <c r="A9" s="26" t="n">
        <v>46176</v>
      </c>
      <c r="B9" s="27" t="s">
        <v>70</v>
      </c>
      <c r="C9" s="27" t="s">
        <v>83</v>
      </c>
      <c r="D9" s="28" t="n">
        <v>505</v>
      </c>
      <c r="E9" s="29" t="n">
        <v>15150</v>
      </c>
      <c r="F9" s="29" t="n">
        <v>6677</v>
      </c>
    </row>
    <row r="10" customFormat="false" ht="15" hidden="false" customHeight="true" outlineLevel="0" collapsed="false">
      <c r="A10" s="26" t="n">
        <v>46176</v>
      </c>
      <c r="B10" s="27" t="s">
        <v>69</v>
      </c>
      <c r="C10" s="27" t="s">
        <v>85</v>
      </c>
      <c r="D10" s="28" t="n">
        <v>472</v>
      </c>
      <c r="E10" s="29" t="n">
        <v>6608</v>
      </c>
      <c r="F10" s="29" t="n">
        <v>3024</v>
      </c>
    </row>
    <row r="11" customFormat="false" ht="15" hidden="false" customHeight="true" outlineLevel="0" collapsed="false">
      <c r="A11" s="26" t="n">
        <v>46176</v>
      </c>
      <c r="B11" s="27" t="s">
        <v>70</v>
      </c>
      <c r="C11" s="27" t="s">
        <v>87</v>
      </c>
      <c r="D11" s="28" t="n">
        <v>276</v>
      </c>
      <c r="E11" s="29" t="n">
        <v>4968</v>
      </c>
      <c r="F11" s="29" t="n">
        <v>2372</v>
      </c>
    </row>
    <row r="12" customFormat="false" ht="15" hidden="false" customHeight="true" outlineLevel="0" collapsed="false">
      <c r="A12" s="26" t="n">
        <v>46177</v>
      </c>
      <c r="B12" s="27" t="s">
        <v>69</v>
      </c>
      <c r="C12" s="27" t="s">
        <v>86</v>
      </c>
      <c r="D12" s="28" t="n">
        <v>112</v>
      </c>
      <c r="E12" s="29" t="n">
        <v>1904</v>
      </c>
      <c r="F12" s="29" t="n">
        <v>857</v>
      </c>
    </row>
    <row r="13" customFormat="false" ht="15" hidden="false" customHeight="true" outlineLevel="0" collapsed="false">
      <c r="A13" s="26" t="n">
        <v>46177</v>
      </c>
      <c r="B13" s="27" t="s">
        <v>70</v>
      </c>
      <c r="C13" s="27" t="s">
        <v>84</v>
      </c>
      <c r="D13" s="28" t="n">
        <v>109</v>
      </c>
      <c r="E13" s="29" t="n">
        <v>1635</v>
      </c>
      <c r="F13" s="29" t="n">
        <v>784</v>
      </c>
    </row>
    <row r="14" customFormat="false" ht="15" hidden="false" customHeight="true" outlineLevel="0" collapsed="false">
      <c r="A14" s="26" t="n">
        <v>46178</v>
      </c>
      <c r="B14" s="27" t="s">
        <v>72</v>
      </c>
      <c r="C14" s="27" t="s">
        <v>87</v>
      </c>
      <c r="D14" s="28" t="n">
        <v>433</v>
      </c>
      <c r="E14" s="29" t="n">
        <v>7794</v>
      </c>
      <c r="F14" s="29" t="n">
        <v>3823</v>
      </c>
    </row>
    <row r="15" customFormat="false" ht="15" hidden="false" customHeight="true" outlineLevel="0" collapsed="false">
      <c r="A15" s="26" t="n">
        <v>46178</v>
      </c>
      <c r="B15" s="27" t="s">
        <v>69</v>
      </c>
      <c r="C15" s="27" t="s">
        <v>83</v>
      </c>
      <c r="D15" s="28" t="n">
        <v>123</v>
      </c>
      <c r="E15" s="29" t="n">
        <v>3690</v>
      </c>
      <c r="F15" s="29" t="n">
        <v>2019</v>
      </c>
    </row>
    <row r="16" customFormat="false" ht="15" hidden="false" customHeight="true" outlineLevel="0" collapsed="false">
      <c r="A16" s="26" t="n">
        <v>46178</v>
      </c>
      <c r="B16" s="27" t="s">
        <v>71</v>
      </c>
      <c r="C16" s="27" t="s">
        <v>86</v>
      </c>
      <c r="D16" s="28" t="n">
        <v>253</v>
      </c>
      <c r="E16" s="29" t="n">
        <v>4301</v>
      </c>
      <c r="F16" s="29" t="n">
        <v>1930</v>
      </c>
    </row>
    <row r="17" customFormat="false" ht="15" hidden="false" customHeight="true" outlineLevel="0" collapsed="false">
      <c r="A17" s="26" t="n">
        <v>46181</v>
      </c>
      <c r="B17" s="27" t="s">
        <v>72</v>
      </c>
      <c r="C17" s="27" t="s">
        <v>87</v>
      </c>
      <c r="D17" s="28" t="n">
        <v>420</v>
      </c>
      <c r="E17" s="29" t="n">
        <v>7560</v>
      </c>
      <c r="F17" s="29" t="n">
        <v>3384</v>
      </c>
    </row>
    <row r="18" customFormat="false" ht="15" hidden="false" customHeight="true" outlineLevel="0" collapsed="false">
      <c r="A18" s="26" t="n">
        <v>46181</v>
      </c>
      <c r="B18" s="27" t="s">
        <v>70</v>
      </c>
      <c r="C18" s="27" t="s">
        <v>86</v>
      </c>
      <c r="D18" s="28" t="n">
        <v>398</v>
      </c>
      <c r="E18" s="29" t="n">
        <v>6766</v>
      </c>
      <c r="F18" s="29" t="n">
        <v>3147</v>
      </c>
    </row>
    <row r="19" customFormat="false" ht="15" hidden="false" customHeight="true" outlineLevel="0" collapsed="false">
      <c r="A19" s="26" t="n">
        <v>46181</v>
      </c>
      <c r="B19" s="27" t="s">
        <v>69</v>
      </c>
      <c r="C19" s="27" t="s">
        <v>86</v>
      </c>
      <c r="D19" s="28" t="n">
        <v>208</v>
      </c>
      <c r="E19" s="29" t="n">
        <v>3536</v>
      </c>
      <c r="F19" s="29" t="n">
        <v>1939</v>
      </c>
    </row>
    <row r="20" customFormat="false" ht="15" hidden="false" customHeight="true" outlineLevel="0" collapsed="false">
      <c r="A20" s="26" t="n">
        <v>46182</v>
      </c>
      <c r="B20" s="27" t="s">
        <v>71</v>
      </c>
      <c r="C20" s="27" t="s">
        <v>83</v>
      </c>
      <c r="D20" s="28" t="n">
        <v>202</v>
      </c>
      <c r="E20" s="29" t="n">
        <v>6060</v>
      </c>
      <c r="F20" s="29" t="n">
        <v>2969</v>
      </c>
    </row>
    <row r="21" customFormat="false" ht="15" hidden="false" customHeight="true" outlineLevel="0" collapsed="false">
      <c r="A21" s="26" t="n">
        <v>46182</v>
      </c>
      <c r="B21" s="27" t="s">
        <v>70</v>
      </c>
      <c r="C21" s="27" t="s">
        <v>85</v>
      </c>
      <c r="D21" s="28" t="n">
        <v>487</v>
      </c>
      <c r="E21" s="29" t="n">
        <v>6818</v>
      </c>
      <c r="F21" s="29" t="n">
        <v>3274</v>
      </c>
    </row>
    <row r="22" customFormat="false" ht="15" hidden="false" customHeight="true" outlineLevel="0" collapsed="false">
      <c r="A22" s="26" t="n">
        <v>46183</v>
      </c>
      <c r="B22" s="27" t="s">
        <v>70</v>
      </c>
      <c r="C22" s="27" t="s">
        <v>86</v>
      </c>
      <c r="D22" s="28" t="n">
        <v>419</v>
      </c>
      <c r="E22" s="29" t="n">
        <v>7123</v>
      </c>
      <c r="F22" s="29" t="n">
        <v>3868</v>
      </c>
    </row>
    <row r="23" customFormat="false" ht="15" hidden="false" customHeight="true" outlineLevel="0" collapsed="false">
      <c r="A23" s="26" t="n">
        <v>46183</v>
      </c>
      <c r="B23" s="27" t="s">
        <v>69</v>
      </c>
      <c r="C23" s="27" t="s">
        <v>86</v>
      </c>
      <c r="D23" s="28" t="n">
        <v>391</v>
      </c>
      <c r="E23" s="29" t="n">
        <v>6647</v>
      </c>
      <c r="F23" s="29" t="n">
        <v>2977</v>
      </c>
    </row>
    <row r="24" customFormat="false" ht="15" hidden="false" customHeight="true" outlineLevel="0" collapsed="false">
      <c r="A24" s="26" t="n">
        <v>46183</v>
      </c>
      <c r="B24" s="27" t="s">
        <v>69</v>
      </c>
      <c r="C24" s="27" t="s">
        <v>83</v>
      </c>
      <c r="D24" s="28" t="n">
        <v>385</v>
      </c>
      <c r="E24" s="29" t="n">
        <v>11550</v>
      </c>
      <c r="F24" s="29" t="n">
        <v>5299</v>
      </c>
    </row>
    <row r="25" customFormat="false" ht="15" hidden="false" customHeight="true" outlineLevel="0" collapsed="false">
      <c r="A25" s="26" t="n">
        <v>46184</v>
      </c>
      <c r="B25" s="27" t="s">
        <v>69</v>
      </c>
      <c r="C25" s="27" t="s">
        <v>85</v>
      </c>
      <c r="D25" s="28" t="n">
        <v>198</v>
      </c>
      <c r="E25" s="29" t="n">
        <v>2772</v>
      </c>
      <c r="F25" s="29" t="n">
        <v>1521</v>
      </c>
    </row>
    <row r="26" customFormat="false" ht="15" hidden="false" customHeight="true" outlineLevel="0" collapsed="false">
      <c r="A26" s="26" t="n">
        <v>46184</v>
      </c>
      <c r="B26" s="27" t="s">
        <v>69</v>
      </c>
      <c r="C26" s="27" t="s">
        <v>84</v>
      </c>
      <c r="D26" s="28" t="n">
        <v>387</v>
      </c>
      <c r="E26" s="29" t="n">
        <v>5805</v>
      </c>
      <c r="F26" s="29" t="n">
        <v>2994</v>
      </c>
    </row>
    <row r="27" customFormat="false" ht="15" hidden="false" customHeight="true" outlineLevel="0" collapsed="false">
      <c r="A27" s="26" t="n">
        <v>46184</v>
      </c>
      <c r="B27" s="27" t="s">
        <v>70</v>
      </c>
      <c r="C27" s="27" t="s">
        <v>87</v>
      </c>
      <c r="D27" s="28" t="n">
        <v>172</v>
      </c>
      <c r="E27" s="29" t="n">
        <v>3096</v>
      </c>
      <c r="F27" s="29" t="n">
        <v>1595</v>
      </c>
    </row>
    <row r="28" customFormat="false" ht="15" hidden="false" customHeight="true" outlineLevel="0" collapsed="false">
      <c r="A28" s="26" t="n">
        <v>46184</v>
      </c>
      <c r="B28" s="27" t="s">
        <v>70</v>
      </c>
      <c r="C28" s="27" t="s">
        <v>85</v>
      </c>
      <c r="D28" s="28" t="n">
        <v>491</v>
      </c>
      <c r="E28" s="29" t="n">
        <v>6874</v>
      </c>
      <c r="F28" s="29" t="n">
        <v>3606</v>
      </c>
    </row>
    <row r="29" customFormat="false" ht="15" hidden="false" customHeight="true" outlineLevel="0" collapsed="false">
      <c r="A29" s="26" t="n">
        <v>46185</v>
      </c>
      <c r="B29" s="27" t="s">
        <v>69</v>
      </c>
      <c r="C29" s="27" t="s">
        <v>85</v>
      </c>
      <c r="D29" s="28" t="n">
        <v>472</v>
      </c>
      <c r="E29" s="29" t="n">
        <v>6608</v>
      </c>
      <c r="F29" s="29" t="n">
        <v>3137</v>
      </c>
    </row>
    <row r="30" customFormat="false" ht="15" hidden="false" customHeight="true" outlineLevel="0" collapsed="false">
      <c r="A30" s="26" t="n">
        <v>46185</v>
      </c>
      <c r="B30" s="27" t="s">
        <v>71</v>
      </c>
      <c r="C30" s="27" t="s">
        <v>86</v>
      </c>
      <c r="D30" s="28" t="n">
        <v>197</v>
      </c>
      <c r="E30" s="29" t="n">
        <v>3349</v>
      </c>
      <c r="F30" s="29" t="n">
        <v>1498</v>
      </c>
    </row>
    <row r="31" customFormat="false" ht="15" hidden="false" customHeight="true" outlineLevel="0" collapsed="false">
      <c r="A31" s="26" t="n">
        <v>46188</v>
      </c>
      <c r="B31" s="27" t="s">
        <v>70</v>
      </c>
      <c r="C31" s="27" t="s">
        <v>84</v>
      </c>
      <c r="D31" s="28" t="n">
        <v>512</v>
      </c>
      <c r="E31" s="29" t="n">
        <v>7680</v>
      </c>
      <c r="F31" s="29" t="n">
        <v>4152</v>
      </c>
    </row>
    <row r="32" customFormat="false" ht="15" hidden="false" customHeight="true" outlineLevel="0" collapsed="false">
      <c r="A32" s="26" t="n">
        <v>46188</v>
      </c>
      <c r="B32" s="27" t="s">
        <v>69</v>
      </c>
      <c r="C32" s="27" t="s">
        <v>86</v>
      </c>
      <c r="D32" s="28" t="n">
        <v>294</v>
      </c>
      <c r="E32" s="29" t="n">
        <v>4998</v>
      </c>
      <c r="F32" s="29" t="n">
        <v>2278</v>
      </c>
    </row>
    <row r="33" customFormat="false" ht="15" hidden="false" customHeight="true" outlineLevel="0" collapsed="false">
      <c r="A33" s="26" t="n">
        <v>46188</v>
      </c>
      <c r="B33" s="27" t="s">
        <v>72</v>
      </c>
      <c r="C33" s="27" t="s">
        <v>84</v>
      </c>
      <c r="D33" s="28" t="n">
        <v>131</v>
      </c>
      <c r="E33" s="29" t="n">
        <v>1965</v>
      </c>
      <c r="F33" s="29" t="n">
        <v>918</v>
      </c>
    </row>
    <row r="34" customFormat="false" ht="15" hidden="false" customHeight="true" outlineLevel="0" collapsed="false">
      <c r="A34" s="26" t="n">
        <v>46188</v>
      </c>
      <c r="B34" s="27" t="s">
        <v>70</v>
      </c>
      <c r="C34" s="27" t="s">
        <v>85</v>
      </c>
      <c r="D34" s="28" t="n">
        <v>347</v>
      </c>
      <c r="E34" s="29" t="n">
        <v>4858</v>
      </c>
      <c r="F34" s="29" t="n">
        <v>2426</v>
      </c>
    </row>
    <row r="35" customFormat="false" ht="15" hidden="false" customHeight="true" outlineLevel="0" collapsed="false">
      <c r="A35" s="26" t="n">
        <v>46189</v>
      </c>
      <c r="B35" s="27" t="s">
        <v>72</v>
      </c>
      <c r="C35" s="27" t="s">
        <v>83</v>
      </c>
      <c r="D35" s="28" t="n">
        <v>172</v>
      </c>
      <c r="E35" s="29" t="n">
        <v>5160</v>
      </c>
      <c r="F35" s="29" t="n">
        <v>2836</v>
      </c>
    </row>
    <row r="36" customFormat="false" ht="15" hidden="false" customHeight="true" outlineLevel="0" collapsed="false">
      <c r="A36" s="26" t="n">
        <v>46189</v>
      </c>
      <c r="B36" s="27" t="s">
        <v>70</v>
      </c>
      <c r="C36" s="27" t="s">
        <v>83</v>
      </c>
      <c r="D36" s="28" t="n">
        <v>130</v>
      </c>
      <c r="E36" s="29" t="n">
        <v>3900</v>
      </c>
      <c r="F36" s="29" t="n">
        <v>1935</v>
      </c>
    </row>
    <row r="37" customFormat="false" ht="15" hidden="false" customHeight="true" outlineLevel="0" collapsed="false">
      <c r="A37" s="26" t="n">
        <v>46189</v>
      </c>
      <c r="B37" s="27" t="s">
        <v>70</v>
      </c>
      <c r="C37" s="27" t="s">
        <v>85</v>
      </c>
      <c r="D37" s="28" t="n">
        <v>106</v>
      </c>
      <c r="E37" s="29" t="n">
        <v>1484</v>
      </c>
      <c r="F37" s="29" t="n">
        <v>776</v>
      </c>
    </row>
    <row r="38" customFormat="false" ht="15" hidden="false" customHeight="true" outlineLevel="0" collapsed="false">
      <c r="A38" s="26" t="n">
        <v>46189</v>
      </c>
      <c r="B38" s="27" t="s">
        <v>70</v>
      </c>
      <c r="C38" s="27" t="s">
        <v>86</v>
      </c>
      <c r="D38" s="28" t="n">
        <v>500</v>
      </c>
      <c r="E38" s="29" t="n">
        <v>8500</v>
      </c>
      <c r="F38" s="29" t="n">
        <v>3843</v>
      </c>
    </row>
    <row r="39" customFormat="false" ht="15" hidden="false" customHeight="true" outlineLevel="0" collapsed="false">
      <c r="A39" s="26" t="n">
        <v>46190</v>
      </c>
      <c r="B39" s="27" t="s">
        <v>69</v>
      </c>
      <c r="C39" s="27" t="s">
        <v>84</v>
      </c>
      <c r="D39" s="28" t="n">
        <v>255</v>
      </c>
      <c r="E39" s="29" t="n">
        <v>3825</v>
      </c>
      <c r="F39" s="29" t="n">
        <v>1934</v>
      </c>
    </row>
    <row r="40" customFormat="false" ht="15" hidden="false" customHeight="true" outlineLevel="0" collapsed="false">
      <c r="A40" s="26" t="n">
        <v>46190</v>
      </c>
      <c r="B40" s="27" t="s">
        <v>70</v>
      </c>
      <c r="C40" s="27" t="s">
        <v>83</v>
      </c>
      <c r="D40" s="28" t="n">
        <v>299</v>
      </c>
      <c r="E40" s="29" t="n">
        <v>8970</v>
      </c>
      <c r="F40" s="29" t="n">
        <v>4469</v>
      </c>
    </row>
    <row r="41" customFormat="false" ht="15" hidden="false" customHeight="true" outlineLevel="0" collapsed="false">
      <c r="A41" s="26" t="n">
        <v>46190</v>
      </c>
      <c r="B41" s="27" t="s">
        <v>71</v>
      </c>
      <c r="C41" s="27" t="s">
        <v>85</v>
      </c>
      <c r="D41" s="28" t="n">
        <v>343</v>
      </c>
      <c r="E41" s="29" t="n">
        <v>4802</v>
      </c>
      <c r="F41" s="29" t="n">
        <v>2568</v>
      </c>
    </row>
    <row r="42" customFormat="false" ht="15" hidden="false" customHeight="true" outlineLevel="0" collapsed="false">
      <c r="A42" s="26" t="n">
        <v>46190</v>
      </c>
      <c r="B42" s="27" t="s">
        <v>70</v>
      </c>
      <c r="C42" s="27" t="s">
        <v>85</v>
      </c>
      <c r="D42" s="28" t="n">
        <v>65</v>
      </c>
      <c r="E42" s="29" t="n">
        <v>910</v>
      </c>
      <c r="F42" s="29" t="n">
        <v>468</v>
      </c>
    </row>
    <row r="43" customFormat="false" ht="15" hidden="false" customHeight="true" outlineLevel="0" collapsed="false">
      <c r="A43" s="26" t="n">
        <v>46191</v>
      </c>
      <c r="B43" s="27" t="s">
        <v>72</v>
      </c>
      <c r="C43" s="27" t="s">
        <v>85</v>
      </c>
      <c r="D43" s="28" t="n">
        <v>453</v>
      </c>
      <c r="E43" s="29" t="n">
        <v>6342</v>
      </c>
      <c r="F43" s="29" t="n">
        <v>3238</v>
      </c>
    </row>
    <row r="44" customFormat="false" ht="15" hidden="false" customHeight="true" outlineLevel="0" collapsed="false">
      <c r="A44" s="26" t="n">
        <v>46191</v>
      </c>
      <c r="B44" s="27" t="s">
        <v>69</v>
      </c>
      <c r="C44" s="27" t="s">
        <v>83</v>
      </c>
      <c r="D44" s="28" t="n">
        <v>117</v>
      </c>
      <c r="E44" s="29" t="n">
        <v>3510</v>
      </c>
      <c r="F44" s="29" t="n">
        <v>1658</v>
      </c>
    </row>
    <row r="45" customFormat="false" ht="15" hidden="false" customHeight="true" outlineLevel="0" collapsed="false">
      <c r="A45" s="26" t="n">
        <v>46192</v>
      </c>
      <c r="B45" s="27" t="s">
        <v>70</v>
      </c>
      <c r="C45" s="27" t="s">
        <v>87</v>
      </c>
      <c r="D45" s="28" t="n">
        <v>548</v>
      </c>
      <c r="E45" s="29" t="n">
        <v>9864</v>
      </c>
      <c r="F45" s="29" t="n">
        <v>5124</v>
      </c>
    </row>
    <row r="46" customFormat="false" ht="15" hidden="false" customHeight="true" outlineLevel="0" collapsed="false">
      <c r="A46" s="26" t="n">
        <v>46192</v>
      </c>
      <c r="B46" s="27" t="s">
        <v>71</v>
      </c>
      <c r="C46" s="27" t="s">
        <v>84</v>
      </c>
      <c r="D46" s="28" t="n">
        <v>428</v>
      </c>
      <c r="E46" s="29" t="n">
        <v>6420</v>
      </c>
      <c r="F46" s="29" t="n">
        <v>3011</v>
      </c>
    </row>
    <row r="47" customFormat="false" ht="15" hidden="false" customHeight="true" outlineLevel="0" collapsed="false">
      <c r="A47" s="26" t="n">
        <v>46195</v>
      </c>
      <c r="B47" s="27" t="s">
        <v>69</v>
      </c>
      <c r="C47" s="27" t="s">
        <v>84</v>
      </c>
      <c r="D47" s="28" t="n">
        <v>490</v>
      </c>
      <c r="E47" s="29" t="n">
        <v>7350</v>
      </c>
      <c r="F47" s="29" t="n">
        <v>3751</v>
      </c>
    </row>
    <row r="48" customFormat="false" ht="15" hidden="false" customHeight="true" outlineLevel="0" collapsed="false">
      <c r="A48" s="26" t="n">
        <v>46195</v>
      </c>
      <c r="B48" s="27" t="s">
        <v>72</v>
      </c>
      <c r="C48" s="27" t="s">
        <v>86</v>
      </c>
      <c r="D48" s="28" t="n">
        <v>371</v>
      </c>
      <c r="E48" s="29" t="n">
        <v>6307</v>
      </c>
      <c r="F48" s="29" t="n">
        <v>2913</v>
      </c>
    </row>
    <row r="49" customFormat="false" ht="15" hidden="false" customHeight="true" outlineLevel="0" collapsed="false">
      <c r="A49" s="26" t="n">
        <v>46195</v>
      </c>
      <c r="B49" s="27" t="s">
        <v>71</v>
      </c>
      <c r="C49" s="27" t="s">
        <v>83</v>
      </c>
      <c r="D49" s="28" t="n">
        <v>251</v>
      </c>
      <c r="E49" s="29" t="n">
        <v>7530</v>
      </c>
      <c r="F49" s="29" t="n">
        <v>3945</v>
      </c>
    </row>
    <row r="50" customFormat="false" ht="15" hidden="false" customHeight="true" outlineLevel="0" collapsed="false">
      <c r="A50" s="26" t="n">
        <v>46195</v>
      </c>
      <c r="B50" s="27" t="s">
        <v>69</v>
      </c>
      <c r="C50" s="27" t="s">
        <v>87</v>
      </c>
      <c r="D50" s="28" t="n">
        <v>336</v>
      </c>
      <c r="E50" s="29" t="n">
        <v>6048</v>
      </c>
      <c r="F50" s="29" t="n">
        <v>3295</v>
      </c>
    </row>
    <row r="51" customFormat="false" ht="15" hidden="false" customHeight="true" outlineLevel="0" collapsed="false">
      <c r="A51" s="26" t="n">
        <v>46196</v>
      </c>
      <c r="B51" s="27" t="s">
        <v>71</v>
      </c>
      <c r="C51" s="27" t="s">
        <v>84</v>
      </c>
      <c r="D51" s="28" t="n">
        <v>117</v>
      </c>
      <c r="E51" s="29" t="n">
        <v>1755</v>
      </c>
      <c r="F51" s="29" t="n">
        <v>952</v>
      </c>
    </row>
    <row r="52" customFormat="false" ht="15" hidden="false" customHeight="true" outlineLevel="0" collapsed="false">
      <c r="A52" s="26" t="n">
        <v>46196</v>
      </c>
      <c r="B52" s="27" t="s">
        <v>70</v>
      </c>
      <c r="C52" s="27" t="s">
        <v>84</v>
      </c>
      <c r="D52" s="28" t="n">
        <v>509</v>
      </c>
      <c r="E52" s="29" t="n">
        <v>7635</v>
      </c>
      <c r="F52" s="29" t="n">
        <v>4187</v>
      </c>
    </row>
    <row r="53" customFormat="false" ht="15" hidden="false" customHeight="true" outlineLevel="0" collapsed="false">
      <c r="A53" s="26" t="n">
        <v>46196</v>
      </c>
      <c r="B53" s="27" t="s">
        <v>72</v>
      </c>
      <c r="C53" s="27" t="s">
        <v>84</v>
      </c>
      <c r="D53" s="28" t="n">
        <v>473</v>
      </c>
      <c r="E53" s="29" t="n">
        <v>7095</v>
      </c>
      <c r="F53" s="29" t="n">
        <v>3362</v>
      </c>
    </row>
    <row r="54" customFormat="false" ht="15" hidden="false" customHeight="true" outlineLevel="0" collapsed="false">
      <c r="A54" s="26" t="n">
        <v>46196</v>
      </c>
      <c r="B54" s="27" t="s">
        <v>72</v>
      </c>
      <c r="C54" s="27" t="s">
        <v>87</v>
      </c>
      <c r="D54" s="28" t="n">
        <v>89</v>
      </c>
      <c r="E54" s="29" t="n">
        <v>1602</v>
      </c>
      <c r="F54" s="29" t="n">
        <v>747</v>
      </c>
    </row>
    <row r="55" customFormat="false" ht="15" hidden="false" customHeight="true" outlineLevel="0" collapsed="false">
      <c r="A55" s="26" t="n">
        <v>46197</v>
      </c>
      <c r="B55" s="27" t="s">
        <v>71</v>
      </c>
      <c r="C55" s="27" t="s">
        <v>85</v>
      </c>
      <c r="D55" s="28" t="n">
        <v>449</v>
      </c>
      <c r="E55" s="29" t="n">
        <v>6286</v>
      </c>
      <c r="F55" s="29" t="n">
        <v>3134</v>
      </c>
    </row>
    <row r="56" customFormat="false" ht="15" hidden="false" customHeight="true" outlineLevel="0" collapsed="false">
      <c r="A56" s="26" t="n">
        <v>46197</v>
      </c>
      <c r="B56" s="27" t="s">
        <v>72</v>
      </c>
      <c r="C56" s="27" t="s">
        <v>87</v>
      </c>
      <c r="D56" s="28" t="n">
        <v>124</v>
      </c>
      <c r="E56" s="29" t="n">
        <v>2232</v>
      </c>
      <c r="F56" s="29" t="n">
        <v>1014</v>
      </c>
    </row>
    <row r="57" customFormat="false" ht="15" hidden="false" customHeight="true" outlineLevel="0" collapsed="false">
      <c r="A57" s="26" t="n">
        <v>46197</v>
      </c>
      <c r="B57" s="27" t="s">
        <v>72</v>
      </c>
      <c r="C57" s="27" t="s">
        <v>84</v>
      </c>
      <c r="D57" s="28" t="n">
        <v>303</v>
      </c>
      <c r="E57" s="29" t="n">
        <v>4545</v>
      </c>
      <c r="F57" s="29" t="n">
        <v>2473</v>
      </c>
    </row>
    <row r="58" customFormat="false" ht="15" hidden="false" customHeight="true" outlineLevel="0" collapsed="false">
      <c r="A58" s="26" t="n">
        <v>46197</v>
      </c>
      <c r="B58" s="27" t="s">
        <v>72</v>
      </c>
      <c r="C58" s="27" t="s">
        <v>83</v>
      </c>
      <c r="D58" s="28" t="n">
        <v>144</v>
      </c>
      <c r="E58" s="29" t="n">
        <v>4320</v>
      </c>
      <c r="F58" s="29" t="n">
        <v>2027</v>
      </c>
    </row>
    <row r="59" customFormat="false" ht="15" hidden="false" customHeight="true" outlineLevel="0" collapsed="false">
      <c r="A59" s="26" t="n">
        <v>46198</v>
      </c>
      <c r="B59" s="27" t="s">
        <v>70</v>
      </c>
      <c r="C59" s="27" t="s">
        <v>83</v>
      </c>
      <c r="D59" s="28" t="n">
        <v>425</v>
      </c>
      <c r="E59" s="29" t="n">
        <v>12750</v>
      </c>
      <c r="F59" s="29" t="n">
        <v>6047</v>
      </c>
    </row>
    <row r="60" customFormat="false" ht="15" hidden="false" customHeight="true" outlineLevel="0" collapsed="false">
      <c r="A60" s="26" t="n">
        <v>46198</v>
      </c>
      <c r="B60" s="27" t="s">
        <v>69</v>
      </c>
      <c r="C60" s="27" t="s">
        <v>86</v>
      </c>
      <c r="D60" s="28" t="n">
        <v>403</v>
      </c>
      <c r="E60" s="29" t="n">
        <v>6851</v>
      </c>
      <c r="F60" s="29" t="n">
        <v>3504</v>
      </c>
    </row>
    <row r="61" customFormat="false" ht="15" hidden="false" customHeight="true" outlineLevel="0" collapsed="false">
      <c r="A61" s="26" t="n">
        <v>46198</v>
      </c>
      <c r="B61" s="27" t="s">
        <v>72</v>
      </c>
      <c r="C61" s="27" t="s">
        <v>85</v>
      </c>
      <c r="D61" s="28" t="n">
        <v>284</v>
      </c>
      <c r="E61" s="29" t="n">
        <v>3976</v>
      </c>
      <c r="F61" s="29" t="n">
        <v>2143</v>
      </c>
    </row>
    <row r="62" customFormat="false" ht="15" hidden="false" customHeight="true" outlineLevel="0" collapsed="false">
      <c r="A62" s="26" t="n">
        <v>46198</v>
      </c>
      <c r="B62" s="27" t="s">
        <v>72</v>
      </c>
      <c r="C62" s="27" t="s">
        <v>83</v>
      </c>
      <c r="D62" s="28" t="n">
        <v>291</v>
      </c>
      <c r="E62" s="29" t="n">
        <v>8730</v>
      </c>
      <c r="F62" s="29" t="n">
        <v>3957</v>
      </c>
    </row>
    <row r="63" customFormat="false" ht="15" hidden="false" customHeight="true" outlineLevel="0" collapsed="false">
      <c r="A63" s="26" t="n">
        <v>46199</v>
      </c>
      <c r="B63" s="27" t="s">
        <v>71</v>
      </c>
      <c r="C63" s="27" t="s">
        <v>85</v>
      </c>
      <c r="D63" s="28" t="n">
        <v>70</v>
      </c>
      <c r="E63" s="29" t="n">
        <v>980</v>
      </c>
      <c r="F63" s="29" t="n">
        <v>495</v>
      </c>
    </row>
    <row r="64" customFormat="false" ht="15" hidden="false" customHeight="true" outlineLevel="0" collapsed="false">
      <c r="A64" s="26" t="n">
        <v>46199</v>
      </c>
      <c r="B64" s="27" t="s">
        <v>70</v>
      </c>
      <c r="C64" s="27" t="s">
        <v>84</v>
      </c>
      <c r="D64" s="28" t="n">
        <v>177</v>
      </c>
      <c r="E64" s="29" t="n">
        <v>2655</v>
      </c>
      <c r="F64" s="29" t="n">
        <v>1340</v>
      </c>
    </row>
    <row r="65" customFormat="false" ht="15" hidden="false" customHeight="true" outlineLevel="0" collapsed="false">
      <c r="A65" s="26" t="n">
        <v>46202</v>
      </c>
      <c r="B65" s="27" t="s">
        <v>71</v>
      </c>
      <c r="C65" s="27" t="s">
        <v>85</v>
      </c>
      <c r="D65" s="28" t="n">
        <v>177</v>
      </c>
      <c r="E65" s="29" t="n">
        <v>2478</v>
      </c>
      <c r="F65" s="29" t="n">
        <v>1109</v>
      </c>
    </row>
    <row r="66" customFormat="false" ht="15" hidden="false" customHeight="true" outlineLevel="0" collapsed="false">
      <c r="A66" s="26" t="n">
        <v>46202</v>
      </c>
      <c r="B66" s="27" t="s">
        <v>71</v>
      </c>
      <c r="C66" s="27" t="s">
        <v>86</v>
      </c>
      <c r="D66" s="28" t="n">
        <v>76</v>
      </c>
      <c r="E66" s="29" t="n">
        <v>1292</v>
      </c>
      <c r="F66" s="29" t="n">
        <v>691</v>
      </c>
    </row>
    <row r="67" customFormat="false" ht="15" hidden="false" customHeight="true" outlineLevel="0" collapsed="false">
      <c r="A67" s="26" t="n">
        <v>46203</v>
      </c>
      <c r="B67" s="27" t="s">
        <v>72</v>
      </c>
      <c r="C67" s="27" t="s">
        <v>86</v>
      </c>
      <c r="D67" s="28" t="n">
        <v>202</v>
      </c>
      <c r="E67" s="29" t="n">
        <v>3434</v>
      </c>
      <c r="F67" s="29" t="n">
        <v>1764</v>
      </c>
    </row>
    <row r="68" customFormat="false" ht="15" hidden="false" customHeight="true" outlineLevel="0" collapsed="false">
      <c r="A68" s="26" t="n">
        <v>46203</v>
      </c>
      <c r="B68" s="27" t="s">
        <v>69</v>
      </c>
      <c r="C68" s="27" t="s">
        <v>85</v>
      </c>
      <c r="D68" s="28" t="n">
        <v>169</v>
      </c>
      <c r="E68" s="29" t="n">
        <v>2366</v>
      </c>
      <c r="F68" s="29" t="n">
        <v>1181</v>
      </c>
    </row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0"/>
  </cols>
  <sheetData>
    <row r="1" customFormat="false" ht="15" hidden="false" customHeight="true" outlineLevel="0" collapsed="false">
      <c r="A1" s="30" t="s">
        <v>88</v>
      </c>
    </row>
    <row r="2" customFormat="false" ht="15" hidden="false" customHeight="true" outlineLevel="0" collapsed="false">
      <c r="A2" s="3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3" t="s">
        <v>90</v>
      </c>
    </row>
    <row r="2" customFormat="false" ht="15" hidden="false" customHeight="true" outlineLevel="0" collapsed="false">
      <c r="A2" s="1" t="s">
        <v>91</v>
      </c>
    </row>
    <row r="4" customFormat="false" ht="15" hidden="false" customHeight="true" outlineLevel="0" collapsed="false">
      <c r="A4" s="3" t="s">
        <v>92</v>
      </c>
    </row>
    <row r="5" customFormat="false" ht="15" hidden="false" customHeight="true" outlineLevel="0" collapsed="false">
      <c r="A5" s="1" t="s">
        <v>93</v>
      </c>
    </row>
    <row r="6" customFormat="false" ht="15" hidden="false" customHeight="true" outlineLevel="0" collapsed="false">
      <c r="A6" s="1" t="s">
        <v>94</v>
      </c>
    </row>
    <row r="8" customFormat="false" ht="15" hidden="false" customHeight="true" outlineLevel="0" collapsed="false">
      <c r="A8" s="3" t="s">
        <v>95</v>
      </c>
    </row>
    <row r="9" customFormat="false" ht="15" hidden="false" customHeight="true" outlineLevel="0" collapsed="false">
      <c r="A9" s="1" t="s">
        <v>96</v>
      </c>
    </row>
    <row r="10" customFormat="false" ht="15" hidden="false" customHeight="true" outlineLevel="0" collapsed="false">
      <c r="A10" s="1" t="s">
        <v>97</v>
      </c>
    </row>
    <row r="12" customFormat="false" ht="15" hidden="false" customHeight="true" outlineLevel="0" collapsed="false">
      <c r="A12" s="3" t="s">
        <v>98</v>
      </c>
    </row>
    <row r="13" customFormat="false" ht="15" hidden="false" customHeight="true" outlineLevel="0" collapsed="false">
      <c r="A13" s="1" t="s">
        <v>99</v>
      </c>
    </row>
    <row r="15" customFormat="false" ht="15" hidden="false" customHeight="true" outlineLevel="0" collapsed="false">
      <c r="A15" s="1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4" style="1" width="13"/>
    <col collapsed="false" customWidth="true" hidden="false" outlineLevel="0" max="5" min="5" style="1" width="10"/>
  </cols>
  <sheetData>
    <row r="1" customFormat="false" ht="21.75" hidden="false" customHeight="true" outlineLevel="0" collapsed="false">
      <c r="A1" s="32" t="s">
        <v>63</v>
      </c>
      <c r="B1" s="32" t="s">
        <v>51</v>
      </c>
      <c r="C1" s="32" t="s">
        <v>101</v>
      </c>
      <c r="D1" s="32" t="s">
        <v>102</v>
      </c>
      <c r="E1" s="32" t="s">
        <v>75</v>
      </c>
    </row>
    <row r="2" customFormat="false" ht="15" hidden="false" customHeight="true" outlineLevel="0" collapsed="false">
      <c r="A2" s="33" t="s">
        <v>72</v>
      </c>
      <c r="B2" s="34" t="n">
        <v>4218500</v>
      </c>
      <c r="C2" s="34" t="n">
        <v>3755000</v>
      </c>
      <c r="D2" s="35" t="n">
        <f aca="false">(B2-C2)/C2</f>
        <v>0.123435419440746</v>
      </c>
      <c r="E2" s="34" t="n">
        <v>2140</v>
      </c>
    </row>
    <row r="3" customFormat="false" ht="15" hidden="false" customHeight="true" outlineLevel="0" collapsed="false">
      <c r="A3" s="33" t="s">
        <v>69</v>
      </c>
      <c r="B3" s="34" t="n">
        <v>3860200</v>
      </c>
      <c r="C3" s="34" t="n">
        <v>3980000</v>
      </c>
      <c r="D3" s="35" t="n">
        <f aca="false">(B3-C3)/C3</f>
        <v>-0.0301005025125628</v>
      </c>
      <c r="E3" s="34" t="n">
        <v>1985</v>
      </c>
    </row>
    <row r="4" customFormat="false" ht="15" hidden="false" customHeight="true" outlineLevel="0" collapsed="false">
      <c r="A4" s="33" t="s">
        <v>70</v>
      </c>
      <c r="B4" s="34" t="n">
        <v>2974300</v>
      </c>
      <c r="C4" s="34" t="n">
        <v>2610000</v>
      </c>
      <c r="D4" s="35" t="n">
        <f aca="false">(B4-C4)/C4</f>
        <v>0.139578544061303</v>
      </c>
      <c r="E4" s="34" t="n">
        <v>1622</v>
      </c>
    </row>
    <row r="5" customFormat="false" ht="15" hidden="false" customHeight="true" outlineLevel="0" collapsed="false">
      <c r="A5" s="33" t="s">
        <v>71</v>
      </c>
      <c r="B5" s="34" t="n">
        <v>2145900</v>
      </c>
      <c r="C5" s="34" t="n">
        <v>2203000</v>
      </c>
      <c r="D5" s="35" t="n">
        <f aca="false">(B5-C5)/C5</f>
        <v>-0.0259192010894235</v>
      </c>
      <c r="E5" s="34" t="n">
        <v>1180</v>
      </c>
    </row>
    <row r="6" customFormat="false" ht="15" hidden="false" customHeight="true" outlineLevel="0" collapsed="false">
      <c r="A6" s="33" t="s">
        <v>103</v>
      </c>
      <c r="B6" s="34" t="n">
        <v>1487600</v>
      </c>
      <c r="C6" s="34" t="n">
        <v>1210000</v>
      </c>
      <c r="D6" s="35" t="n">
        <f aca="false">(B6-C6)/C6</f>
        <v>0.229421487603306</v>
      </c>
      <c r="E6" s="34" t="n">
        <v>760</v>
      </c>
    </row>
    <row r="7" customFormat="false" ht="15" hidden="false" customHeight="true" outlineLevel="0" collapsed="false">
      <c r="A7" s="36" t="s">
        <v>68</v>
      </c>
      <c r="B7" s="37" t="n">
        <f aca="false">SUM(B2:B6)</f>
        <v>14686500</v>
      </c>
      <c r="C7" s="37" t="n">
        <f aca="false">SUM(C2:C6)</f>
        <v>13758000</v>
      </c>
      <c r="D7" s="38" t="n">
        <f aca="false">(B7-C7)/C7</f>
        <v>0.0674880069777584</v>
      </c>
      <c r="E7" s="37" t="n">
        <f aca="false">SUM(E2:E6)</f>
        <v>7687</v>
      </c>
    </row>
    <row r="9" customFormat="false" ht="15" hidden="false" customHeight="true" outlineLevel="0" collapsed="false">
      <c r="A9" s="3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2026-08-05T17:57:36Z</dcterms:created>
  <dc:creator>openpyxl</dc:creator>
  <dc:description/>
  <dc:language>en-US</dc:language>
  <cp:lastModifiedBy/>
  <dcterms:modified xsi:type="dcterms:W3CDTF">2026-08-07T07:48:21Z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