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copilot-demo-files/copilot-logging/"/>
    </mc:Choice>
  </mc:AlternateContent>
  <xr:revisionPtr revIDLastSave="115" documentId="8_{92C6A570-05DF-4E75-A61B-37B3E6C2C5E9}" xr6:coauthVersionLast="47" xr6:coauthVersionMax="47" xr10:uidLastSave="{10453CFD-0113-473D-8315-0CD043B67EE1}"/>
  <bookViews>
    <workbookView xWindow="-23136" yWindow="-96" windowWidth="23232" windowHeight="13152" activeTab="1" xr2:uid="{F443A7F6-B24B-4409-8239-E5E635603AE7}"/>
  </bookViews>
  <sheets>
    <sheet name="Sheet1" sheetId="1" r:id="rId1"/>
    <sheet name="Copilot_Log" sheetId="2" r:id="rId2"/>
    <sheet name="Performance 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4" l="1"/>
  <c r="C7" i="4"/>
  <c r="B7" i="4"/>
  <c r="D6" i="4"/>
  <c r="D5" i="4"/>
  <c r="D4" i="4"/>
  <c r="C6" i="4"/>
  <c r="C5" i="4"/>
  <c r="C4" i="4"/>
  <c r="B6" i="4"/>
  <c r="B5" i="4"/>
  <c r="B4" i="4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<sst xmlns="http://schemas.openxmlformats.org/spreadsheetml/2006/main" count="89" uniqueCount="39">
  <si>
    <t>Month</t>
  </si>
  <si>
    <t>Region</t>
  </si>
  <si>
    <t>Product Line</t>
  </si>
  <si>
    <t>Revenue</t>
  </si>
  <si>
    <t>Cost</t>
  </si>
  <si>
    <t>Jan</t>
  </si>
  <si>
    <t>East</t>
  </si>
  <si>
    <t>Software</t>
  </si>
  <si>
    <t>West</t>
  </si>
  <si>
    <t>Central</t>
  </si>
  <si>
    <t>Services</t>
  </si>
  <si>
    <t>Feb</t>
  </si>
  <si>
    <t>Mar</t>
  </si>
  <si>
    <t>This table records all Copilot actions. Every task must be logged.</t>
  </si>
  <si>
    <t>Timestamp</t>
  </si>
  <si>
    <t>Task</t>
  </si>
  <si>
    <t>Prompt</t>
  </si>
  <si>
    <t>Actions</t>
  </si>
  <si>
    <t>Output Location</t>
  </si>
  <si>
    <t>Notes</t>
  </si>
  <si>
    <t>Profit</t>
  </si>
  <si>
    <t>Margin %</t>
  </si>
  <si>
    <t>Performance Summary by Region</t>
  </si>
  <si>
    <t>Total Revenue</t>
  </si>
  <si>
    <t>Total Profit</t>
  </si>
  <si>
    <t>Avg Margin %</t>
  </si>
  <si>
    <t>Grand Total</t>
  </si>
  <si>
    <t>2026-03-24 11:10:22 EDT</t>
  </si>
  <si>
    <t>Build Performance Summary for Management</t>
  </si>
  <si>
    <t>Add Profit &amp; Margin % columns to Table1; create a Performance Summary sheet with total Revenue, Profit, and avg Margin % by Region; log all actions.</t>
  </si>
  <si>
    <t>1) Added 'Profit' column (F) = Revenue - Cost in Table1. 2) Added 'Margin %' column (G) = Profit / Revenue in Table1. 3) Resized Table1 to A1:G19. 4) Created 'Performance Summary' sheet with PerformanceSummary table (A3:D7) using SUMIFS and AVERAGEIFS by Region, plus Grand Total row. 5) Logged this entry.</t>
  </si>
  <si>
    <t>Sheet1!F1:G19 (new columns); 'Performance Summary'!A1:D7 (summary table)</t>
  </si>
  <si>
    <t>All calculations use Excel formulas (SUMIFS, AVERAGEIFS, SUM, AVERAGE). Regions listed alphabetically (Central, East, West). Grand Total uses SUM for Revenue/Profit and AVERAGE for Margin %.</t>
  </si>
  <si>
    <t>2026-03-24 11:14:09 EDT</t>
  </si>
  <si>
    <t>Identify &amp; Highlight Top Margin Region</t>
  </si>
  <si>
    <t>Identify the Region with the highest average Margin % and highlight it in the Performance Summary. Log the task in CopilotLog with full details.</t>
  </si>
  <si>
    <t>1) Read PerformanceSummary table data (A4:D7). 2) Identified 'East' as the region with the highest Avg Margin % (41.8%). 3) Highlighted row A5:D5 in 'Performance Summary' with green fill (#92D050) and bold font. 4) Logged this entry in CopilotLog.</t>
  </si>
  <si>
    <t>Performance Summary'!A5:D5 (highlighted row)</t>
  </si>
  <si>
    <t>East region has the highest Avg Margin % at ~41.8%, compared to Central (~38.7%) and West (~37.6%). Highlight uses green fill (#92D050) + bold font.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</si>
</sst>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4" x14ac:knownFonts="1">
    <font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3" fillId="0" borderId="0" xfId="0" applyFont="1"/>
    <xf numFmtId="0" fontId="2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0" fontId="0" fillId="0" borderId="0" xfId="0" quotePrefix="1"/>
  </cellXfs>
  <cellStyles count="1">
    <cellStyle name="Normal" xfId="0" builtinId="0"/>
  </cellStyles>
  <dxfs count="8">
    <dxf>
      <numFmt numFmtId="165" formatCode="0.0%"/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Aptos Narrow"/>
        <family val="2"/>
        <scheme val="minor"/>
      </font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027A3-B38A-4514-88CA-A1C0A83B9073}" name="Table1" displayName="Table1" ref="A1:G19" totalsRowShown="0">
  <autoFilter ref="A1:G19" xr:uid="{8E8027A3-B38A-4514-88CA-A1C0A83B9073}"/>
  <tableColumns count="7">
    <tableColumn id="1" xr3:uid="{F89A980A-5B1D-4C2B-A7C1-1EF78A11C881}" name="Month"/>
    <tableColumn id="2" xr3:uid="{7A0A3F52-8F8A-4286-B683-6B3F82798DF8}" name="Region"/>
    <tableColumn id="3" xr3:uid="{0B7A7357-56B0-4784-9385-1500561A7AAB}" name="Product Line"/>
    <tableColumn id="4" xr3:uid="{0AB36913-3EAF-44C2-85F8-33A276697D4C}" name="Revenue" dataDxfId="7"/>
    <tableColumn id="5" xr3:uid="{C4B682D8-1CC0-4B1C-BB2A-2D06A39C9245}" name="Cost" dataDxfId="6"/>
    <tableColumn id="6" xr3:uid="{3DCEF2EF-8F3E-4DA9-9721-44232E945A18}" name="Profit" dataDxfId="5">
      <calculatedColumnFormula>D2-E2</calculatedColumnFormula>
    </tableColumn>
    <tableColumn id="7" xr3:uid="{ED021264-3BE6-40F9-A319-F443D36EB6F4}" name="Margin %" dataDxfId="4">
      <calculatedColumnFormula>F2/D2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F3C92-E03F-46B8-90A7-0124EFBF733E}" name="CopilotLog" displayName="CopilotLog" ref="A2:F4" totalsRowShown="0">
  <autoFilter ref="A2:F4" xr:uid="{3EAF3C92-E03F-46B8-90A7-0124EFBF733E}"/>
  <tableColumns count="6">
    <tableColumn id="1" xr3:uid="{87FFCA30-F287-4E05-B4CC-3827F5691326}" name="Timestamp"/>
    <tableColumn id="2" xr3:uid="{9DEC7D41-0A0D-49B1-BEBE-6711CA86BC10}" name="Task"/>
    <tableColumn id="3" xr3:uid="{4ACD1776-13CE-4403-AA8E-583E569F9D28}" name="Prompt"/>
    <tableColumn id="4" xr3:uid="{650B38F9-28B5-4C57-B629-7A1EC80173B8}" name="Actions"/>
    <tableColumn id="5" xr3:uid="{122461F5-3C5B-414F-BD0E-751D1EA51BE7}" name="Output Location"/>
    <tableColumn id="6" xr3:uid="{3FDEE3BC-8C96-4455-A96D-CF3C460FDB0F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A92D2A-AA49-4E20-8999-9B25704DA824}" name="PerformanceSummary" displayName="PerformanceSummary" ref="A3:D7" totalsRowShown="0" headerRowDxfId="3">
  <autoFilter ref="A3:D7" xr:uid="{10A92D2A-AA49-4E20-8999-9B25704DA824}">
    <filterColumn colId="0" hiddenButton="1"/>
    <filterColumn colId="1" hiddenButton="1"/>
    <filterColumn colId="2" hiddenButton="1"/>
    <filterColumn colId="3" hiddenButton="1"/>
  </autoFilter>
  <tableColumns count="4">
    <tableColumn id="1" xr3:uid="{B5D6059A-993C-4A29-89BF-815A4F336A20}" name="Region"/>
    <tableColumn id="2" xr3:uid="{B4661BCC-4BD7-4672-B866-4426B2B77AEE}" name="Total Revenue" dataDxfId="2"/>
    <tableColumn id="3" xr3:uid="{05BECD08-0401-439E-BE73-3C2C63ED2E77}" name="Total Profit" dataDxfId="1"/>
    <tableColumn id="4" xr3:uid="{63918499-C930-4B2D-8FAA-6254108CDE6A}" name="Avg Margin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F2F1-9512-41FE-8548-3BA548EB98E5}">
  <dimension ref="A1:G19"/>
  <sheetViews>
    <sheetView zoomScale="70" zoomScaleNormal="70" workbookViewId="0">
      <selection activeCell="C6" sqref="C6"/>
    </sheetView>
  </sheetViews>
  <sheetFormatPr defaultRowHeight="34" x14ac:dyDescent="1.1499999999999999"/>
  <cols>
    <col min="3" max="3" width="11.25" customWidth="1"/>
    <col min="4" max="4" width="10.59765625" style="2" bestFit="1" customWidth="1"/>
    <col min="5" max="5" width="9.59765625" style="2" bestFit="1" customWidth="1"/>
    <col min="6" max="6" width="8.59765625" style="1"/>
  </cols>
  <sheetData>
    <row r="1" spans="1:7" x14ac:dyDescent="1.1499999999999999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1" t="s">
        <v>20</v>
      </c>
      <c r="G1" t="s">
        <v>21</v>
      </c>
    </row>
    <row r="2" spans="1:7" x14ac:dyDescent="1.1499999999999999">
      <c r="A2" t="s">
        <v>5</v>
      </c>
      <c r="B2" t="s">
        <v>6</v>
      </c>
      <c r="C2" t="s">
        <v>7</v>
      </c>
      <c r="D2" s="2">
        <v>125000</v>
      </c>
      <c r="E2" s="2">
        <v>72000</v>
      </c>
      <c r="F2" s="2">
        <f t="shared" ref="F2" si="0">D2-E2</f>
        <v>53000</v>
      </c>
      <c r="G2" s="4">
        <f t="shared" ref="G2" si="1">F2/D2</f>
        <v>0.42399999999999999</v>
      </c>
    </row>
    <row r="3" spans="1:7" x14ac:dyDescent="1.1499999999999999">
      <c r="A3" t="s">
        <v>5</v>
      </c>
      <c r="B3" t="s">
        <v>8</v>
      </c>
      <c r="C3" t="s">
        <v>7</v>
      </c>
      <c r="D3" s="2">
        <v>98000</v>
      </c>
      <c r="E3" s="2">
        <v>61000</v>
      </c>
      <c r="F3" s="2">
        <f t="shared" ref="F3:F19" si="2">D3-E3</f>
        <v>37000</v>
      </c>
      <c r="G3" s="4">
        <f t="shared" ref="G3:G19" si="3">F3/D3</f>
        <v>0.37755102040816324</v>
      </c>
    </row>
    <row r="4" spans="1:7" x14ac:dyDescent="1.1499999999999999">
      <c r="A4" t="s">
        <v>5</v>
      </c>
      <c r="B4" t="s">
        <v>9</v>
      </c>
      <c r="C4" t="s">
        <v>7</v>
      </c>
      <c r="D4" s="2">
        <v>110000</v>
      </c>
      <c r="E4" s="2">
        <v>65000</v>
      </c>
      <c r="F4" s="2">
        <f t="shared" si="2"/>
        <v>45000</v>
      </c>
      <c r="G4" s="4">
        <f t="shared" si="3"/>
        <v>0.40909090909090912</v>
      </c>
    </row>
    <row r="5" spans="1:7" x14ac:dyDescent="1.1499999999999999">
      <c r="A5" t="s">
        <v>5</v>
      </c>
      <c r="B5" t="s">
        <v>6</v>
      </c>
      <c r="C5" t="s">
        <v>10</v>
      </c>
      <c r="D5" s="2">
        <v>87000</v>
      </c>
      <c r="E5" s="2">
        <v>52000</v>
      </c>
      <c r="F5" s="2">
        <f t="shared" si="2"/>
        <v>35000</v>
      </c>
      <c r="G5" s="4">
        <f t="shared" si="3"/>
        <v>0.40229885057471265</v>
      </c>
    </row>
    <row r="6" spans="1:7" x14ac:dyDescent="1.1499999999999999">
      <c r="A6" t="s">
        <v>5</v>
      </c>
      <c r="B6" t="s">
        <v>8</v>
      </c>
      <c r="C6" t="s">
        <v>10</v>
      </c>
      <c r="D6" s="2">
        <v>92000</v>
      </c>
      <c r="E6" s="2">
        <v>58000</v>
      </c>
      <c r="F6" s="2">
        <f t="shared" si="2"/>
        <v>34000</v>
      </c>
      <c r="G6" s="4">
        <f t="shared" si="3"/>
        <v>0.36956521739130432</v>
      </c>
    </row>
    <row r="7" spans="1:7" x14ac:dyDescent="1.1499999999999999">
      <c r="A7" t="s">
        <v>5</v>
      </c>
      <c r="B7" t="s">
        <v>9</v>
      </c>
      <c r="C7" t="s">
        <v>10</v>
      </c>
      <c r="D7" s="2">
        <v>76000</v>
      </c>
      <c r="E7" s="2">
        <v>49000</v>
      </c>
      <c r="F7" s="2">
        <f t="shared" si="2"/>
        <v>27000</v>
      </c>
      <c r="G7" s="4">
        <f t="shared" si="3"/>
        <v>0.35526315789473684</v>
      </c>
    </row>
    <row r="8" spans="1:7" x14ac:dyDescent="1.1499999999999999">
      <c r="A8" t="s">
        <v>11</v>
      </c>
      <c r="B8" t="s">
        <v>6</v>
      </c>
      <c r="C8" t="s">
        <v>7</v>
      </c>
      <c r="D8" s="2">
        <v>132000</v>
      </c>
      <c r="E8" s="2">
        <v>75000</v>
      </c>
      <c r="F8" s="2">
        <f t="shared" si="2"/>
        <v>57000</v>
      </c>
      <c r="G8" s="4">
        <f t="shared" si="3"/>
        <v>0.43181818181818182</v>
      </c>
    </row>
    <row r="9" spans="1:7" x14ac:dyDescent="1.1499999999999999">
      <c r="A9" t="s">
        <v>11</v>
      </c>
      <c r="B9" t="s">
        <v>8</v>
      </c>
      <c r="C9" t="s">
        <v>7</v>
      </c>
      <c r="D9" s="2">
        <v>101000</v>
      </c>
      <c r="E9" s="2">
        <v>63000</v>
      </c>
      <c r="F9" s="2">
        <f t="shared" si="2"/>
        <v>38000</v>
      </c>
      <c r="G9" s="4">
        <f t="shared" si="3"/>
        <v>0.37623762376237624</v>
      </c>
    </row>
    <row r="10" spans="1:7" x14ac:dyDescent="1.1499999999999999">
      <c r="A10" t="s">
        <v>11</v>
      </c>
      <c r="B10" t="s">
        <v>9</v>
      </c>
      <c r="C10" t="s">
        <v>7</v>
      </c>
      <c r="D10" s="2">
        <v>115000</v>
      </c>
      <c r="E10" s="2">
        <v>67000</v>
      </c>
      <c r="F10" s="2">
        <f t="shared" si="2"/>
        <v>48000</v>
      </c>
      <c r="G10" s="4">
        <f t="shared" si="3"/>
        <v>0.41739130434782606</v>
      </c>
    </row>
    <row r="11" spans="1:7" x14ac:dyDescent="1.1499999999999999">
      <c r="A11" t="s">
        <v>11</v>
      </c>
      <c r="B11" t="s">
        <v>6</v>
      </c>
      <c r="C11" t="s">
        <v>10</v>
      </c>
      <c r="D11" s="2">
        <v>91000</v>
      </c>
      <c r="E11" s="2">
        <v>54000</v>
      </c>
      <c r="F11" s="2">
        <f t="shared" si="2"/>
        <v>37000</v>
      </c>
      <c r="G11" s="4">
        <f t="shared" si="3"/>
        <v>0.40659340659340659</v>
      </c>
    </row>
    <row r="12" spans="1:7" x14ac:dyDescent="1.1499999999999999">
      <c r="A12" t="s">
        <v>11</v>
      </c>
      <c r="B12" t="s">
        <v>8</v>
      </c>
      <c r="C12" t="s">
        <v>10</v>
      </c>
      <c r="D12" s="2">
        <v>97000</v>
      </c>
      <c r="E12" s="2">
        <v>60000</v>
      </c>
      <c r="F12" s="2">
        <f t="shared" si="2"/>
        <v>37000</v>
      </c>
      <c r="G12" s="4">
        <f t="shared" si="3"/>
        <v>0.38144329896907214</v>
      </c>
    </row>
    <row r="13" spans="1:7" x14ac:dyDescent="1.1499999999999999">
      <c r="A13" t="s">
        <v>11</v>
      </c>
      <c r="B13" t="s">
        <v>9</v>
      </c>
      <c r="C13" t="s">
        <v>10</v>
      </c>
      <c r="D13" s="2">
        <v>80000</v>
      </c>
      <c r="E13" s="2">
        <v>51000</v>
      </c>
      <c r="F13" s="2">
        <f t="shared" si="2"/>
        <v>29000</v>
      </c>
      <c r="G13" s="4">
        <f t="shared" si="3"/>
        <v>0.36249999999999999</v>
      </c>
    </row>
    <row r="14" spans="1:7" x14ac:dyDescent="1.1499999999999999">
      <c r="A14" t="s">
        <v>12</v>
      </c>
      <c r="B14" t="s">
        <v>6</v>
      </c>
      <c r="C14" t="s">
        <v>7</v>
      </c>
      <c r="D14" s="2">
        <v>140000</v>
      </c>
      <c r="E14" s="2">
        <v>79000</v>
      </c>
      <c r="F14" s="2">
        <f t="shared" si="2"/>
        <v>61000</v>
      </c>
      <c r="G14" s="4">
        <f t="shared" si="3"/>
        <v>0.43571428571428572</v>
      </c>
    </row>
    <row r="15" spans="1:7" x14ac:dyDescent="1.1499999999999999">
      <c r="A15" t="s">
        <v>12</v>
      </c>
      <c r="B15" t="s">
        <v>8</v>
      </c>
      <c r="C15" t="s">
        <v>7</v>
      </c>
      <c r="D15" s="2">
        <v>105000</v>
      </c>
      <c r="E15" s="2">
        <v>66000</v>
      </c>
      <c r="F15" s="2">
        <f t="shared" si="2"/>
        <v>39000</v>
      </c>
      <c r="G15" s="4">
        <f t="shared" si="3"/>
        <v>0.37142857142857144</v>
      </c>
    </row>
    <row r="16" spans="1:7" x14ac:dyDescent="1.1499999999999999">
      <c r="A16" t="s">
        <v>12</v>
      </c>
      <c r="B16" t="s">
        <v>9</v>
      </c>
      <c r="C16" t="s">
        <v>7</v>
      </c>
      <c r="D16" s="2">
        <v>120000</v>
      </c>
      <c r="E16" s="2">
        <v>70000</v>
      </c>
      <c r="F16" s="2">
        <f t="shared" si="2"/>
        <v>50000</v>
      </c>
      <c r="G16" s="4">
        <f t="shared" si="3"/>
        <v>0.41666666666666669</v>
      </c>
    </row>
    <row r="17" spans="1:7" x14ac:dyDescent="1.1499999999999999">
      <c r="A17" t="s">
        <v>12</v>
      </c>
      <c r="B17" t="s">
        <v>6</v>
      </c>
      <c r="C17" t="s">
        <v>10</v>
      </c>
      <c r="D17" s="2">
        <v>95000</v>
      </c>
      <c r="E17" s="2">
        <v>56000</v>
      </c>
      <c r="F17" s="2">
        <f t="shared" si="2"/>
        <v>39000</v>
      </c>
      <c r="G17" s="4">
        <f t="shared" si="3"/>
        <v>0.41052631578947368</v>
      </c>
    </row>
    <row r="18" spans="1:7" x14ac:dyDescent="1.1499999999999999">
      <c r="A18" t="s">
        <v>12</v>
      </c>
      <c r="B18" t="s">
        <v>8</v>
      </c>
      <c r="C18" t="s">
        <v>10</v>
      </c>
      <c r="D18" s="2">
        <v>102000</v>
      </c>
      <c r="E18" s="2">
        <v>63000</v>
      </c>
      <c r="F18" s="2">
        <f t="shared" si="2"/>
        <v>39000</v>
      </c>
      <c r="G18" s="4">
        <f t="shared" si="3"/>
        <v>0.38235294117647056</v>
      </c>
    </row>
    <row r="19" spans="1:7" x14ac:dyDescent="1.1499999999999999">
      <c r="A19" t="s">
        <v>12</v>
      </c>
      <c r="B19" t="s">
        <v>9</v>
      </c>
      <c r="C19" t="s">
        <v>10</v>
      </c>
      <c r="D19" s="2">
        <v>83000</v>
      </c>
      <c r="E19" s="2">
        <v>53000</v>
      </c>
      <c r="F19" s="2">
        <f t="shared" si="2"/>
        <v>30000</v>
      </c>
      <c r="G19" s="4">
        <f t="shared" si="3"/>
        <v>0.36144578313253012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E81-36F3-46E6-9C4B-B7166D3CA063}">
  <dimension ref="A1:F4"/>
  <sheetViews>
    <sheetView tabSelected="1" topLeftCell="C1" zoomScale="70" zoomScaleNormal="70" workbookViewId="0">
      <selection activeCell="C6" sqref="C6"/>
    </sheetView>
  </sheetViews>
  <sheetFormatPr defaultRowHeight="34" x14ac:dyDescent="1.1499999999999999"/>
  <cols>
    <col min="1" max="1" width="20.671875" bestFit="1" customWidth="1"/>
    <col min="2" max="2" width="35.94921875" bestFit="1" customWidth="1"/>
    <col min="3" max="3" width="116.625" bestFit="1" customWidth="1"/>
    <col min="4" max="4" width="243.625" bestFit="1" customWidth="1"/>
    <col min="5" max="5" width="62.6484375" bestFit="1" customWidth="1"/>
    <col min="6" max="6" width="153.0234375" bestFit="1" customWidth="1"/>
  </cols>
  <sheetData>
    <row r="1" spans="1:6" x14ac:dyDescent="1.1499999999999999">
      <c r="A1" s="6" t="s">
        <v>13</v>
      </c>
      <c r="B1" s="6"/>
      <c r="C1" s="6"/>
      <c r="D1" s="6"/>
      <c r="E1" s="6"/>
      <c r="F1" s="6"/>
    </row>
    <row r="2" spans="1:6" x14ac:dyDescent="1.1499999999999999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6" x14ac:dyDescent="1.1499999999999999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</row>
    <row r="4" spans="1:6" x14ac:dyDescent="1.1499999999999999">
      <c r="A4" t="s">
        <v>33</v>
      </c>
      <c r="B4" t="s">
        <v>34</v>
      </c>
      <c r="C4" t="s">
        <v>35</v>
      </c>
      <c r="D4" t="s">
        <v>36</v>
      </c>
      <c r="E4" s="10" t="s">
        <v>37</v>
      </c>
      <c r="F4" t="s">
        <v>38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CE2A-C9D4-49E0-A86F-5511115ECAAC}">
  <dimension ref="A1:D7"/>
  <sheetViews>
    <sheetView workbookViewId="0">
      <selection activeCell="C6" sqref="C6"/>
    </sheetView>
  </sheetViews>
  <sheetFormatPr defaultRowHeight="34" x14ac:dyDescent="1.1499999999999999"/>
  <cols>
    <col min="1" max="1" width="14.82421875" bestFit="1" customWidth="1"/>
    <col min="2" max="2" width="12" bestFit="1" customWidth="1"/>
    <col min="3" max="3" width="9.375" bestFit="1" customWidth="1"/>
    <col min="4" max="4" width="11.09765625" bestFit="1" customWidth="1"/>
  </cols>
  <sheetData>
    <row r="1" spans="1:4" x14ac:dyDescent="1.1499999999999999">
      <c r="A1" s="5" t="s">
        <v>22</v>
      </c>
    </row>
    <row r="3" spans="1:4" x14ac:dyDescent="1.1499999999999999">
      <c r="A3" s="3" t="s">
        <v>1</v>
      </c>
      <c r="B3" s="3" t="s">
        <v>23</v>
      </c>
      <c r="C3" s="3" t="s">
        <v>24</v>
      </c>
      <c r="D3" s="3" t="s">
        <v>25</v>
      </c>
    </row>
    <row r="4" spans="1:4" x14ac:dyDescent="1.1499999999999999">
      <c r="A4" t="s">
        <v>9</v>
      </c>
      <c r="B4" s="2">
        <f>SUMIFS(Table1[Revenue],Table1[Region],"Central")</f>
        <v>584000</v>
      </c>
      <c r="C4" s="2">
        <f>SUMIFS(Table1[Profit],Table1[Region],"Central")</f>
        <v>229000</v>
      </c>
      <c r="D4" s="4">
        <f>AVERAGEIFS(Table1[Margin %],Table1[Region],"Central")</f>
        <v>0.38705963685544481</v>
      </c>
    </row>
    <row r="5" spans="1:4" x14ac:dyDescent="1.1499999999999999">
      <c r="A5" s="7" t="s">
        <v>6</v>
      </c>
      <c r="B5" s="8">
        <f>SUMIFS(Table1[Revenue],Table1[Region],"East")</f>
        <v>670000</v>
      </c>
      <c r="C5" s="8">
        <f>SUMIFS(Table1[Profit],Table1[Region],"East")</f>
        <v>282000</v>
      </c>
      <c r="D5" s="9">
        <f>AVERAGEIFS(Table1[Margin %],Table1[Region],"East")</f>
        <v>0.41849184008167678</v>
      </c>
    </row>
    <row r="6" spans="1:4" x14ac:dyDescent="1.1499999999999999">
      <c r="A6" t="s">
        <v>8</v>
      </c>
      <c r="B6" s="2">
        <f>SUMIFS(Table1[Revenue],Table1[Region],"West")</f>
        <v>595000</v>
      </c>
      <c r="C6" s="2">
        <f>SUMIFS(Table1[Profit],Table1[Region],"West")</f>
        <v>224000</v>
      </c>
      <c r="D6" s="4">
        <f>AVERAGEIFS(Table1[Margin %],Table1[Region],"West")</f>
        <v>0.37642977885599299</v>
      </c>
    </row>
    <row r="7" spans="1:4" x14ac:dyDescent="1.1499999999999999">
      <c r="A7" s="3" t="s">
        <v>26</v>
      </c>
      <c r="B7" s="2">
        <f>SUM(B4:B6)</f>
        <v>1849000</v>
      </c>
      <c r="C7" s="2">
        <f>SUM(C4:C6)</f>
        <v>735000</v>
      </c>
      <c r="D7" s="4">
        <f>AVERAGE(D4:D6)</f>
        <v>0.39399375193103819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Copilot_Log</vt:lpstr>
      <vt:lpstr>Performance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2026-03-24T15:04:20Z</dcterms:created>
  <dcterms:modified xsi:type="dcterms:W3CDTF">2026-03-24T15:14:50Z</dcterms:modified>
</cp:coreProperties>
</file>